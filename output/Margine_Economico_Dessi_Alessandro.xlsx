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Commesse" sheetId="2" state="visible" r:id="rId4"/>
    <sheet name="Per cliente" sheetId="3" state="visible" r:id="rId5"/>
    <sheet name="Dettaglio" sheetId="4" state="visible" r:id="rId6"/>
  </sheets>
  <definedNames>
    <definedName function="false" hidden="true" localSheetId="1" name="_xlnm._FilterDatabase" vbProcedure="false">Commesse!$A$4:$P$28</definedName>
    <definedName function="false" hidden="true" localSheetId="3" name="_xlnm._FilterDatabase" vbProcedure="false">Dettaglio!$A$4:$K$100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<sst xmlns="http://schemas.openxmlformats.org/spreadsheetml/2006/main" count="894" uniqueCount="268">
  <si>
    <t xml:space="preserve">Prospetto Margine Economico - DESSI' ALESSANDRO</t>
  </si>
  <si>
    <t xml:space="preserve">Fonte: export HTML 'Quadro Economico' fornito dall'utente. Valori del periodo di competenza.</t>
  </si>
  <si>
    <t xml:space="preserve">Voce</t>
  </si>
  <si>
    <t xml:space="preserve">Valore (€)</t>
  </si>
  <si>
    <t xml:space="preserve">% su ricavi</t>
  </si>
  <si>
    <t xml:space="preserve">Ricavi</t>
  </si>
  <si>
    <t xml:space="preserve">Costi diretti</t>
  </si>
  <si>
    <t xml:space="preserve">MLC (margine lordo di commessa)</t>
  </si>
  <si>
    <t xml:space="preserve">Fatturato</t>
  </si>
  <si>
    <t xml:space="preserve">Scostamento ricavi competenza - fatturato</t>
  </si>
  <si>
    <t xml:space="preserve">Indicatori</t>
  </si>
  <si>
    <t xml:space="preserve">Numero commesse</t>
  </si>
  <si>
    <t xml:space="preserve">Commesse con MLC negativo</t>
  </si>
  <si>
    <t xml:space="preserve">MLC perso sulle commesse in perdita (€)</t>
  </si>
  <si>
    <t xml:space="preserve">Numero righe (base + quadri + varianti)</t>
  </si>
  <si>
    <t xml:space="preserve">Controllo: totale Dettaglio = totale Commesse</t>
  </si>
  <si>
    <t xml:space="preserve">Legenda</t>
  </si>
  <si>
    <t xml:space="preserve">Testo blu = valore copiato dal report (dato di input)</t>
  </si>
  <si>
    <t xml:space="preserve">Testo nero = formula</t>
  </si>
  <si>
    <t xml:space="preserve">Sfondo rosso = MLC negativo</t>
  </si>
  <si>
    <t xml:space="preserve">Avvisi = dai tooltip del report (costi previsti a zero / consuntivi oltre il previsto)</t>
  </si>
  <si>
    <t xml:space="preserve">Valori relativi al periodo di competenza del report. Ricavi e costi = somma delle righe del foglio Dettaglio; Fatturato (blu) dal report.</t>
  </si>
  <si>
    <t xml:space="preserve">Commessa</t>
  </si>
  <si>
    <t xml:space="preserve">Descrizione</t>
  </si>
  <si>
    <t xml:space="preserve">Cod. cliente</t>
  </si>
  <si>
    <t xml:space="preserve">Cliente</t>
  </si>
  <si>
    <t xml:space="preserve">Stato</t>
  </si>
  <si>
    <t xml:space="preserve">Ricavi (€)</t>
  </si>
  <si>
    <t xml:space="preserve">% Inc. ricavi</t>
  </si>
  <si>
    <t xml:space="preserve">Costi diretti (€)</t>
  </si>
  <si>
    <t xml:space="preserve">% Inc. costi</t>
  </si>
  <si>
    <t xml:space="preserve">MLC (€)</t>
  </si>
  <si>
    <t xml:space="preserve">% Inc. MLC</t>
  </si>
  <si>
    <t xml:space="preserve">% MLC</t>
  </si>
  <si>
    <t xml:space="preserve">Fatturato (€)</t>
  </si>
  <si>
    <t xml:space="preserve">Scostamento ricavi - fatturato (€)</t>
  </si>
  <si>
    <t xml:space="preserve">N. varianti</t>
  </si>
  <si>
    <t xml:space="preserve">Avvisi</t>
  </si>
  <si>
    <t xml:space="preserve">S1146</t>
  </si>
  <si>
    <t xml:space="preserve">MANUTENZIONE STABILIMENTO NUOVO PIGNONE dal 14/03/2016</t>
  </si>
  <si>
    <t xml:space="preserve">00782</t>
  </si>
  <si>
    <t xml:space="preserve">ENGIE Servizi S.p.A.</t>
  </si>
  <si>
    <t xml:space="preserve">In Progress</t>
  </si>
  <si>
    <t xml:space="preserve">Costi previsti a zero</t>
  </si>
  <si>
    <t xml:space="preserve">S1343</t>
  </si>
  <si>
    <t xml:space="preserve">MANUTENZIONE IMPIANTI DI TELECONTROLLO</t>
  </si>
  <si>
    <t xml:space="preserve">00198</t>
  </si>
  <si>
    <t xml:space="preserve">PUBLIACQUA S.p.A.</t>
  </si>
  <si>
    <t xml:space="preserve">Nuova</t>
  </si>
  <si>
    <t xml:space="preserve">S1659</t>
  </si>
  <si>
    <t xml:space="preserve">MANUTENZIONE E IMP. ELETTRICI SU RETI E IMPIANTI - ZONA LUCCHESIA - VALDINIEVOLE 2° CONTRATTO</t>
  </si>
  <si>
    <t xml:space="preserve">00335</t>
  </si>
  <si>
    <t xml:space="preserve">ACQUE SPA</t>
  </si>
  <si>
    <t xml:space="preserve">Chiusa</t>
  </si>
  <si>
    <t xml:space="preserve">S1722</t>
  </si>
  <si>
    <t xml:space="preserve">Impianti elettrici Uffici campata F12</t>
  </si>
  <si>
    <t xml:space="preserve">00380</t>
  </si>
  <si>
    <t xml:space="preserve">ANGELI S.R.L</t>
  </si>
  <si>
    <t xml:space="preserve">Costi cons. compl. 391.055,35 &gt; previsti 345.915,00 (+45.140,35)</t>
  </si>
  <si>
    <t xml:space="preserve">S1756</t>
  </si>
  <si>
    <t xml:space="preserve">IMPIANTO ELETTRICO NUOVO CAPANNONE BOX &amp; PACK N.P. FI</t>
  </si>
  <si>
    <t xml:space="preserve">S1765</t>
  </si>
  <si>
    <t xml:space="preserve">LAVORI DI MANUTENZIONE E REALIZZAZIONE IMPIANTI ELETTRICI - LOTTO III ZONA LUCCHESIA - VALDINIEVOLE</t>
  </si>
  <si>
    <t xml:space="preserve">S1825</t>
  </si>
  <si>
    <t xml:space="preserve">Manutenzione impianti Lotto II Lucchesia e Valdinievole ANNO 2024/2025</t>
  </si>
  <si>
    <t xml:space="preserve">S1839</t>
  </si>
  <si>
    <t xml:space="preserve">IMPIANTO HVAC DIG8</t>
  </si>
  <si>
    <t xml:space="preserve">Costi cons. compl. 12.084,59 &gt; previsti 9.228,00 (+2.856,59)</t>
  </si>
  <si>
    <t xml:space="preserve">S1840</t>
  </si>
  <si>
    <t xml:space="preserve">NUOVA VIABILITA' PIGNONE</t>
  </si>
  <si>
    <t xml:space="preserve">Costi cons. compl. 46.503,04 &gt; previsti 42.957,10 (+3.545,94)</t>
  </si>
  <si>
    <t xml:space="preserve">S1857</t>
  </si>
  <si>
    <t xml:space="preserve">IMP. ELETTRICO REVAMPING HVAC BUNKER HSB</t>
  </si>
  <si>
    <t xml:space="preserve">S1868</t>
  </si>
  <si>
    <t xml:space="preserve">IMPIANTO ELETTRICO VASCHE PIGNONE</t>
  </si>
  <si>
    <t xml:space="preserve">S1888</t>
  </si>
  <si>
    <t xml:space="preserve">IMPIANTO FV 2311,3 kWp PRESSO STAB. GSK</t>
  </si>
  <si>
    <t xml:space="preserve">00720</t>
  </si>
  <si>
    <t xml:space="preserve">GESCO SPA</t>
  </si>
  <si>
    <t xml:space="preserve">S1897</t>
  </si>
  <si>
    <t xml:space="preserve">IMPIANTO ELETTRICO CABINATO A TEMPERATURA CONTROLLATA F12 - NP STABILIMENTO FIRENZE</t>
  </si>
  <si>
    <t xml:space="preserve">S1908</t>
  </si>
  <si>
    <t xml:space="preserve">IMPIANTO ELETTRICO CDZ CONTAINER</t>
  </si>
  <si>
    <t xml:space="preserve">00690</t>
  </si>
  <si>
    <t xml:space="preserve">ALGECO SPA con socio unico</t>
  </si>
  <si>
    <t xml:space="preserve">S1938</t>
  </si>
  <si>
    <t xml:space="preserve">IMPIANTO ELETTRICO RE-LAYOUT AREA NUOVO FORNO CAMPATA M8 NUOVO PIGNONE FIRENZE</t>
  </si>
  <si>
    <t xml:space="preserve">00215</t>
  </si>
  <si>
    <t xml:space="preserve">ELLEGI SERVICE s.p.a.</t>
  </si>
  <si>
    <t xml:space="preserve">S1950</t>
  </si>
  <si>
    <t xml:space="preserve">Lavori di manutenzione e realizzazione impianti elettrici Lotto 2 - zona Lucchesia e Valdinievole - CIG AQ B1054381D0</t>
  </si>
  <si>
    <t xml:space="preserve">S1954</t>
  </si>
  <si>
    <t xml:space="preserve">IMPIANTO ELETTRICO PER REALIZZAZIONE VIA DI CORSA CAMPATA F3 N.P. FI</t>
  </si>
  <si>
    <t xml:space="preserve">S1981</t>
  </si>
  <si>
    <t xml:space="preserve">COLLEGAMENTI EQUIPOTENZIALI CANTIERE ELLEGI NUOVA AREA RESISTENZE DI CARICO MT BANCHI INTERNI 1-2 STABILIMENTO N.P. FIRENZE</t>
  </si>
  <si>
    <t xml:space="preserve">Costi cons. compl. 522,24 &gt; previsti 435,00 (+87,24)</t>
  </si>
  <si>
    <t xml:space="preserve">S1990</t>
  </si>
  <si>
    <t xml:space="preserve">MANUTENZIONE STRAORDINARIA 2026 DI IMPIANTI ELETTRICI</t>
  </si>
  <si>
    <t xml:space="preserve">00803</t>
  </si>
  <si>
    <t xml:space="preserve">ING.FERRARI SPA</t>
  </si>
  <si>
    <t xml:space="preserve">S1995</t>
  </si>
  <si>
    <t xml:space="preserve">KNX Dig.2</t>
  </si>
  <si>
    <t xml:space="preserve">00209</t>
  </si>
  <si>
    <t xml:space="preserve">NUOVO PIGNONE S.r.l.</t>
  </si>
  <si>
    <t xml:space="preserve">S1998</t>
  </si>
  <si>
    <t xml:space="preserve">IMPIANTO ELETTRICO ALIMENTAZIONE TORNIO PUMA</t>
  </si>
  <si>
    <t xml:space="preserve">S2002</t>
  </si>
  <si>
    <t xml:space="preserve">F14 - smantellamenti uffici</t>
  </si>
  <si>
    <t xml:space="preserve">S2004</t>
  </si>
  <si>
    <t xml:space="preserve">ADEGUAMENTO IMPIANTI CAMPATA C3 PER SPOSTAMENTO CARROPONTE A BANDIERA</t>
  </si>
  <si>
    <t xml:space="preserve">S2023</t>
  </si>
  <si>
    <t xml:space="preserve">Accordo quadro per lavori di manutenzione e realizzazione impianti elettrici. LOTTO II - LUCCHESIA E VALDINIEVOLE</t>
  </si>
  <si>
    <t xml:space="preserve">TOTALE</t>
  </si>
  <si>
    <t xml:space="preserve">Nota: nella riga TOTALE, % Inc. costi e % Inc. MLC sono calcolate sui ricavi totali (come nel report: 82,65% e 17,35%).</t>
  </si>
  <si>
    <t xml:space="preserve">Riepilogo per cliente</t>
  </si>
  <si>
    <t xml:space="preserve">N. commesse</t>
  </si>
  <si>
    <t xml:space="preserve">Dettaglio commesse e varianti - DESSI' ALESSANDRO</t>
  </si>
  <si>
    <t xml:space="preserve">Valori di ricavo e costo (in blu) copiati dal Prospetto Margine Economico (export HTML fornito dall'utente). MLC = Ricavi - Costi.</t>
  </si>
  <si>
    <t xml:space="preserve">Commessa madre</t>
  </si>
  <si>
    <t xml:space="preserve">Codice</t>
  </si>
  <si>
    <t xml:space="preserve">Tipo</t>
  </si>
  <si>
    <t xml:space="preserve">Base</t>
  </si>
  <si>
    <t xml:space="preserve">S1146Q07</t>
  </si>
  <si>
    <t xml:space="preserve">Quadro</t>
  </si>
  <si>
    <t xml:space="preserve">Quadro Matr: 25088 Tipo: Q.P.C.OLI.DIG5.3FN.25</t>
  </si>
  <si>
    <t xml:space="preserve">S1146Q08</t>
  </si>
  <si>
    <t xml:space="preserve">Quadro Matr: 25125 Tipo: Q.L.C.C15-C16.3FN.125</t>
  </si>
  <si>
    <t xml:space="preserve">S1146Q09</t>
  </si>
  <si>
    <t xml:space="preserve">Quadro Matr: 25161 Tipo: Q.P.SC.DIG4.FN.16</t>
  </si>
  <si>
    <t xml:space="preserve">S1343V03</t>
  </si>
  <si>
    <t xml:space="preserve">Variante</t>
  </si>
  <si>
    <t xml:space="preserve">MANUTENZIONE IMPIANTI DI TELECONTROLLO 2023</t>
  </si>
  <si>
    <t xml:space="preserve">S1659Q17</t>
  </si>
  <si>
    <t xml:space="preserve">Quadro Matr. 23225 Tipo Q.C.SERRAV.FN.16</t>
  </si>
  <si>
    <t xml:space="preserve">S1659Q38</t>
  </si>
  <si>
    <t xml:space="preserve">Quadro Matr: 24177 Tipo: Q.PLC.S.LOR.FN.25</t>
  </si>
  <si>
    <t xml:space="preserve">S1659V18</t>
  </si>
  <si>
    <t xml:space="preserve">Lavori Vico</t>
  </si>
  <si>
    <t xml:space="preserve">S1659V29</t>
  </si>
  <si>
    <t xml:space="preserve">illuminazione pisa sud</t>
  </si>
  <si>
    <t xml:space="preserve">S1659V30</t>
  </si>
  <si>
    <t xml:space="preserve">Analizzatori Pagnana</t>
  </si>
  <si>
    <t xml:space="preserve">S1659V38</t>
  </si>
  <si>
    <t xml:space="preserve">Quadro PLC PACO Cenaia (San Lorenzo Pescia S1659Q38)</t>
  </si>
  <si>
    <t xml:space="preserve">S1825Q12</t>
  </si>
  <si>
    <t xml:space="preserve">Quadro Matr: 25141 Tipo: Q.DISTR.D.C.3FN.100</t>
  </si>
  <si>
    <t xml:space="preserve">S1825Q15</t>
  </si>
  <si>
    <t xml:space="preserve">Quadri centrale Sant'Allucio</t>
  </si>
  <si>
    <t xml:space="preserve">S1825Q19</t>
  </si>
  <si>
    <t xml:space="preserve">Quadro Matr: 26006 Tipo: Q.C.6.P.POL.FN.16</t>
  </si>
  <si>
    <t xml:space="preserve">S1825Q20</t>
  </si>
  <si>
    <t xml:space="preserve">Quadro Matr: 26013 Tipo: Q.GBT.D.T.3FN.1000</t>
  </si>
  <si>
    <t xml:space="preserve">S1825V01</t>
  </si>
  <si>
    <t xml:space="preserve">LAVORI VARI</t>
  </si>
  <si>
    <t xml:space="preserve">S1825V02</t>
  </si>
  <si>
    <t xml:space="preserve">Analizzatori</t>
  </si>
  <si>
    <t xml:space="preserve">S1825V03</t>
  </si>
  <si>
    <t xml:space="preserve">CASTELVECCHIO</t>
  </si>
  <si>
    <t xml:space="preserve">S1825V04</t>
  </si>
  <si>
    <t xml:space="preserve">CAMBIANO CLORURO FERRICO</t>
  </si>
  <si>
    <t xml:space="preserve">S1825V05</t>
  </si>
  <si>
    <t xml:space="preserve">MONTECHIARI</t>
  </si>
  <si>
    <t xml:space="preserve">S1825V06</t>
  </si>
  <si>
    <t xml:space="preserve">DIRI IMPIANTI VARI</t>
  </si>
  <si>
    <t xml:space="preserve">S1825V07</t>
  </si>
  <si>
    <t xml:space="preserve">IMPIANTI FOTOVOLTAICI</t>
  </si>
  <si>
    <t xml:space="preserve">S1825V08</t>
  </si>
  <si>
    <t xml:space="preserve">STATI TLC</t>
  </si>
  <si>
    <t xml:space="preserve">S1825V09</t>
  </si>
  <si>
    <t xml:space="preserve">TORRIONE</t>
  </si>
  <si>
    <t xml:space="preserve">S1825V10</t>
  </si>
  <si>
    <t xml:space="preserve">SCAMBIO RETE-GRUPPO INTERCOMUNALE</t>
  </si>
  <si>
    <t xml:space="preserve">S1825V11</t>
  </si>
  <si>
    <t xml:space="preserve">EOLICO LUGNANO</t>
  </si>
  <si>
    <t xml:space="preserve">S1825V12</t>
  </si>
  <si>
    <t xml:space="preserve">INVERTER NUOVO CENTRO</t>
  </si>
  <si>
    <t xml:space="preserve">S1825V13</t>
  </si>
  <si>
    <t xml:space="preserve">PROGRAMMAZIONE SAN LORENZO - PONTE ALLA NAVETTA</t>
  </si>
  <si>
    <t xml:space="preserve">S1825V14</t>
  </si>
  <si>
    <t xml:space="preserve">PANZANA</t>
  </si>
  <si>
    <t xml:space="preserve">S1825V15</t>
  </si>
  <si>
    <t xml:space="preserve">Sant Allucio rifacimento impianto elettrico</t>
  </si>
  <si>
    <t xml:space="preserve">S1825V16</t>
  </si>
  <si>
    <t xml:space="preserve">San Iacopo inverter</t>
  </si>
  <si>
    <t xml:space="preserve">S1825V17</t>
  </si>
  <si>
    <t xml:space="preserve">Sollevamento Intercomunale</t>
  </si>
  <si>
    <t xml:space="preserve">S1825V18</t>
  </si>
  <si>
    <t xml:space="preserve">FV LUGNANO</t>
  </si>
  <si>
    <t xml:space="preserve">S1825V19</t>
  </si>
  <si>
    <t xml:space="preserve">Pollino Pompa 6</t>
  </si>
  <si>
    <t xml:space="preserve">S1825V20</t>
  </si>
  <si>
    <t xml:space="preserve">Tirrenia Cabina</t>
  </si>
  <si>
    <t xml:space="preserve">S1825V21</t>
  </si>
  <si>
    <t xml:space="preserve">Installazione sistemi gateway 2025</t>
  </si>
  <si>
    <t xml:space="preserve">S1868Q01</t>
  </si>
  <si>
    <t xml:space="preserve">Quadro Matr: 24181 Tipo: Q.P1VD3.3FN.40</t>
  </si>
  <si>
    <t xml:space="preserve">S1868Q02</t>
  </si>
  <si>
    <t xml:space="preserve">Quadro Matr: 24182 Tipo: Q.P2VD3.3FN.32</t>
  </si>
  <si>
    <t xml:space="preserve">S1897Q01</t>
  </si>
  <si>
    <t xml:space="preserve">Quadro Matr: 25054 Tipo: Q.CAB.F12.3FN.100</t>
  </si>
  <si>
    <t xml:space="preserve">S1950Q07</t>
  </si>
  <si>
    <t xml:space="preserve">Quadri PLC Cepparello</t>
  </si>
  <si>
    <t xml:space="preserve">S1950Q09</t>
  </si>
  <si>
    <t xml:space="preserve">Quadro Matr: 26025 Tipo: Q.P.D.T.B.3FN.40</t>
  </si>
  <si>
    <t xml:space="preserve">S1950Q10</t>
  </si>
  <si>
    <t xml:space="preserve">DEPURATORE TIRRENIA - cabina mt</t>
  </si>
  <si>
    <t xml:space="preserve">S1950Q11</t>
  </si>
  <si>
    <t xml:space="preserve">Pollino pompa 6</t>
  </si>
  <si>
    <t xml:space="preserve">S1950Q14</t>
  </si>
  <si>
    <t xml:space="preserve">sollevamento via Ricasoli</t>
  </si>
  <si>
    <t xml:space="preserve">S1950Q15</t>
  </si>
  <si>
    <t xml:space="preserve">QUADRI CAT1 FP0H DEPURATORE INTERCOMUNALE DI PIEVE A NIEVOLE</t>
  </si>
  <si>
    <t xml:space="preserve">S1950Q16</t>
  </si>
  <si>
    <t xml:space="preserve">QUADRO VALVOLE ROTOSTACCI DEPURATORE INTERCOMUNALE PIEVE A NIEVOLE</t>
  </si>
  <si>
    <t xml:space="preserve">S1950Q19</t>
  </si>
  <si>
    <t xml:space="preserve">QUADRO COMPATTO 2 POMPE FP0H SOLLEVAMENTO SAN LORENZO - PESCIA</t>
  </si>
  <si>
    <t xml:space="preserve">S1950V01</t>
  </si>
  <si>
    <t xml:space="preserve">Sollevamento Fognario SP Lucchese</t>
  </si>
  <si>
    <t xml:space="preserve">S1950V02</t>
  </si>
  <si>
    <t xml:space="preserve">Interventi monitoraggi energetici</t>
  </si>
  <si>
    <t xml:space="preserve">S1950V03</t>
  </si>
  <si>
    <t xml:space="preserve">Lavori vari</t>
  </si>
  <si>
    <t xml:space="preserve">S1950V05</t>
  </si>
  <si>
    <t xml:space="preserve">Centrale San Lorenzo</t>
  </si>
  <si>
    <t xml:space="preserve">S1950V06</t>
  </si>
  <si>
    <t xml:space="preserve">Intercomunale Pieve a Nievole - Rotostacci</t>
  </si>
  <si>
    <t xml:space="preserve">S1950V07</t>
  </si>
  <si>
    <t xml:space="preserve">Fornitura e installazione quadri PLC Cepparello</t>
  </si>
  <si>
    <t xml:space="preserve">S1950V08</t>
  </si>
  <si>
    <t xml:space="preserve">Paganico ricariche autoveicoli</t>
  </si>
  <si>
    <t xml:space="preserve">S1950V09</t>
  </si>
  <si>
    <t xml:space="preserve">Torrione</t>
  </si>
  <si>
    <t xml:space="preserve">S1950V10</t>
  </si>
  <si>
    <t xml:space="preserve">S1950V12</t>
  </si>
  <si>
    <t xml:space="preserve">TRASFORMATORE DEPURATORE ALTOPASCIO</t>
  </si>
  <si>
    <t xml:space="preserve">S1950V13</t>
  </si>
  <si>
    <t xml:space="preserve">Cavi NOP Santallucio</t>
  </si>
  <si>
    <t xml:space="preserve">S1950V14</t>
  </si>
  <si>
    <t xml:space="preserve">Sollevamento via Ricasoli ponte Buggianese</t>
  </si>
  <si>
    <t xml:space="preserve">S1950V16</t>
  </si>
  <si>
    <t xml:space="preserve">Quadro Valvole Intercomunale</t>
  </si>
  <si>
    <t xml:space="preserve">S1950V17</t>
  </si>
  <si>
    <t xml:space="preserve">POLLINO QUADRI POZZI</t>
  </si>
  <si>
    <t xml:space="preserve">S1950V18</t>
  </si>
  <si>
    <t xml:space="preserve">MEDICINA RIF.IMPIANTO</t>
  </si>
  <si>
    <t xml:space="preserve">S1950V20</t>
  </si>
  <si>
    <t xml:space="preserve">CENTRALE BIENTINA - FILTRI</t>
  </si>
  <si>
    <t xml:space="preserve">S1950V21</t>
  </si>
  <si>
    <t xml:space="preserve">Imp.FV Barontana</t>
  </si>
  <si>
    <t xml:space="preserve">S1950V22</t>
  </si>
  <si>
    <t xml:space="preserve">Impianti Vico</t>
  </si>
  <si>
    <t xml:space="preserve">S1990Q01</t>
  </si>
  <si>
    <t xml:space="preserve">Quadro Matr.: 26072 Tipo: Q.MA.C11.C13.3FN.160</t>
  </si>
  <si>
    <t xml:space="preserve">S2023Q02</t>
  </si>
  <si>
    <t xml:space="preserve">Quadri VICO</t>
  </si>
  <si>
    <t xml:space="preserve">S2023Q03</t>
  </si>
  <si>
    <t xml:space="preserve">Quadri POLLINO</t>
  </si>
  <si>
    <t xml:space="preserve">S2023Q04</t>
  </si>
  <si>
    <t xml:space="preserve">S2023V01</t>
  </si>
  <si>
    <t xml:space="preserve">ACQUE LAV.VARI</t>
  </si>
  <si>
    <t xml:space="preserve">S2023V02</t>
  </si>
  <si>
    <t xml:space="preserve">ACQUE IMPIANTO VICO</t>
  </si>
  <si>
    <t xml:space="preserve">S2023V03</t>
  </si>
  <si>
    <t xml:space="preserve">ACQUE DEPOSITO POGGETTO POLLINO</t>
  </si>
  <si>
    <t xml:space="preserve">S2023V09</t>
  </si>
  <si>
    <t xml:space="preserve">ACQUE SAN IACOPO ASSISTENZA</t>
  </si>
  <si>
    <t xml:space="preserve">S2023V10</t>
  </si>
  <si>
    <t xml:space="preserve">ACQUE Modifica programmazione centrale zona sportiva Empoli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</si>
</sst>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;\-"/>
    <numFmt numFmtId="166" formatCode="0.00%;[RED]\-0.00%;\-"/>
    <numFmt numFmtId="167" formatCode="0"/>
    <numFmt numFmtId="168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Commesse!F29</f>
        <v>2713605.54</v>
      </c>
      <c r="C5" s="6" t="n">
        <f aca="false">IF($B$5=0,"",B5/$B$5)</f>
        <v>1</v>
      </c>
    </row>
    <row r="6" customFormat="false" ht="15" hidden="false" customHeight="false" outlineLevel="0" collapsed="false">
      <c r="A6" s="4" t="s">
        <v>6</v>
      </c>
      <c r="B6" s="5" t="n">
        <f aca="false">Commesse!H29</f>
        <v>2242886.02</v>
      </c>
      <c r="C6" s="6" t="n">
        <f aca="false">IF($B$5=0,"",B6/$B$5)</f>
        <v>0.826533549898339</v>
      </c>
    </row>
    <row r="7" customFormat="false" ht="15" hidden="false" customHeight="false" outlineLevel="0" collapsed="false">
      <c r="A7" s="7" t="s">
        <v>7</v>
      </c>
      <c r="B7" s="8" t="n">
        <f aca="false">Commesse!J29</f>
        <v>470719.52</v>
      </c>
      <c r="C7" s="9" t="n">
        <f aca="false">IF($B$5=0,"",B7/$B$5)</f>
        <v>0.173466450101661</v>
      </c>
    </row>
    <row r="8" customFormat="false" ht="15" hidden="false" customHeight="false" outlineLevel="0" collapsed="false">
      <c r="A8" s="4" t="s">
        <v>8</v>
      </c>
      <c r="B8" s="5" t="n">
        <f aca="false">Commesse!M29</f>
        <v>2713605.54</v>
      </c>
      <c r="C8" s="6" t="n">
        <f aca="false">IF($B$5=0,"",B8/$B$5)</f>
        <v>1</v>
      </c>
    </row>
    <row r="9" customFormat="false" ht="15" hidden="false" customHeight="false" outlineLevel="0" collapsed="false">
      <c r="A9" s="4" t="s">
        <v>9</v>
      </c>
      <c r="B9" s="5" t="n">
        <f aca="false">Commesse!N29</f>
        <v>0</v>
      </c>
      <c r="C9" s="6" t="n">
        <f aca="false">IF($B$5=0,"",B9/$B$5)</f>
        <v>0</v>
      </c>
    </row>
    <row r="11" customFormat="false" ht="15" hidden="false" customHeight="false" outlineLevel="0" collapsed="false">
      <c r="A11" s="10" t="s">
        <v>10</v>
      </c>
    </row>
    <row r="12" customFormat="false" ht="15" hidden="false" customHeight="false" outlineLevel="0" collapsed="false">
      <c r="A12" s="4" t="s">
        <v>11</v>
      </c>
      <c r="B12" s="11" t="n">
        <f aca="false">COUNTA(Commesse!A5:A28)</f>
        <v>24</v>
      </c>
    </row>
    <row r="13" customFormat="false" ht="15" hidden="false" customHeight="false" outlineLevel="0" collapsed="false">
      <c r="A13" s="4" t="s">
        <v>12</v>
      </c>
      <c r="B13" s="11" t="n">
        <f aca="false">COUNTIF(Commesse!J5:J28,"&lt;0")</f>
        <v>5</v>
      </c>
    </row>
    <row r="14" customFormat="false" ht="15" hidden="false" customHeight="false" outlineLevel="0" collapsed="false">
      <c r="A14" s="4" t="s">
        <v>13</v>
      </c>
      <c r="B14" s="5" t="n">
        <f aca="false">SUMIF(Commesse!J5:J28,"&lt;0")</f>
        <v>-79001.78</v>
      </c>
    </row>
    <row r="15" customFormat="false" ht="15" hidden="false" customHeight="false" outlineLevel="0" collapsed="false">
      <c r="A15" s="4" t="s">
        <v>14</v>
      </c>
      <c r="B15" s="5" t="n">
        <f aca="false">COUNTA(Dettaglio!B5:B100)</f>
        <v>96</v>
      </c>
    </row>
    <row r="16" customFormat="false" ht="15" hidden="false" customHeight="false" outlineLevel="0" collapsed="false">
      <c r="A16" s="4" t="s">
        <v>15</v>
      </c>
      <c r="B16" s="12" t="str">
        <f aca="false">IF(ROUND(Dettaglio!H101-Commesse!F29,2)=0,"OK","ERRORE")</f>
        <v>OK</v>
      </c>
    </row>
    <row r="18" customFormat="false" ht="15" hidden="false" customHeight="false" outlineLevel="0" collapsed="false">
      <c r="A18" s="10" t="s">
        <v>16</v>
      </c>
    </row>
    <row r="19" customFormat="false" ht="15" hidden="false" customHeight="false" outlineLevel="0" collapsed="false">
      <c r="A19" s="13" t="s">
        <v>17</v>
      </c>
    </row>
    <row r="20" customFormat="false" ht="15" hidden="false" customHeight="false" outlineLevel="0" collapsed="false">
      <c r="A20" s="14" t="s">
        <v>18</v>
      </c>
    </row>
    <row r="21" customFormat="false" ht="15" hidden="false" customHeight="false" outlineLevel="0" collapsed="false">
      <c r="A21" s="14" t="s">
        <v>19</v>
      </c>
    </row>
    <row r="22" customFormat="false" ht="15" hidden="false" customHeight="false" outlineLevel="0" collapsed="false">
      <c r="A22" s="1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2" min="11" style="0" width="9"/>
    <col collapsed="false" customWidth="true" hidden="false" outlineLevel="0" max="14" min="13" style="0" width="15"/>
    <col collapsed="false" customWidth="true" hidden="false" outlineLevel="0" max="15" min="15" style="0" width="9"/>
    <col collapsed="false" customWidth="true" hidden="false" outlineLevel="0" max="16" min="1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21</v>
      </c>
    </row>
    <row r="4" customFormat="false" ht="30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</row>
    <row r="5" customFormat="false" ht="15" hidden="false" customHeight="false" outlineLevel="0" collapsed="false">
      <c r="A5" s="4" t="s">
        <v>38</v>
      </c>
      <c r="B5" s="15" t="s">
        <v>39</v>
      </c>
      <c r="C5" s="4" t="s">
        <v>40</v>
      </c>
      <c r="D5" s="4" t="s">
        <v>41</v>
      </c>
      <c r="E5" s="4" t="s">
        <v>42</v>
      </c>
      <c r="F5" s="5" t="n">
        <f aca="false">SUMIFS(Dettaglio!$H$5:$H$100,Dettaglio!$A$5:$A$100,A5)</f>
        <v>345280.73</v>
      </c>
      <c r="G5" s="6" t="n">
        <f aca="false">IF($F$29=0,"",F5/$F$29)</f>
        <v>0.127240575282729</v>
      </c>
      <c r="H5" s="5" t="n">
        <f aca="false">SUMIFS(Dettaglio!$I$5:$I$100,Dettaglio!$A$5:$A$100,A5)</f>
        <v>254932.22</v>
      </c>
      <c r="I5" s="6" t="n">
        <f aca="false">IF($H$29=0,"",H5/$H$29)</f>
        <v>0.113662583709894</v>
      </c>
      <c r="J5" s="5" t="n">
        <f aca="false">F5-H5</f>
        <v>90348.51</v>
      </c>
      <c r="K5" s="6" t="n">
        <f aca="false">IF($J$29=0,"",J5/$J$29)</f>
        <v>0.191937037155374</v>
      </c>
      <c r="L5" s="6" t="n">
        <f aca="false">IF(F5=0,"",J5/F5)</f>
        <v>0.261666818185886</v>
      </c>
      <c r="M5" s="16" t="n">
        <v>345280.73</v>
      </c>
      <c r="N5" s="5" t="n">
        <f aca="false">F5-M5</f>
        <v>0</v>
      </c>
      <c r="O5" s="11" t="n">
        <f aca="false">COUNTIF(Dettaglio!$A$5:$A$100,A5)-COUNTIFS(Dettaglio!$A$5:$A$100,A5,Dettaglio!$C$5:$C$100,"Base")</f>
        <v>3</v>
      </c>
      <c r="P5" s="4" t="s">
        <v>43</v>
      </c>
    </row>
    <row r="6" customFormat="false" ht="15" hidden="false" customHeight="false" outlineLevel="0" collapsed="false">
      <c r="A6" s="4" t="s">
        <v>44</v>
      </c>
      <c r="B6" s="15" t="s">
        <v>45</v>
      </c>
      <c r="C6" s="4" t="s">
        <v>46</v>
      </c>
      <c r="D6" s="4" t="s">
        <v>47</v>
      </c>
      <c r="E6" s="4" t="s">
        <v>48</v>
      </c>
      <c r="F6" s="5" t="n">
        <f aca="false">SUMIFS(Dettaglio!$H$5:$H$100,Dettaglio!$A$5:$A$100,A6)</f>
        <v>0</v>
      </c>
      <c r="G6" s="6" t="n">
        <f aca="false">IF($F$29=0,"",F6/$F$29)</f>
        <v>0</v>
      </c>
      <c r="H6" s="5" t="n">
        <f aca="false">SUMIFS(Dettaglio!$I$5:$I$100,Dettaglio!$A$5:$A$100,A6)</f>
        <v>384.19</v>
      </c>
      <c r="I6" s="6" t="n">
        <f aca="false">IF($H$29=0,"",H6/$H$29)</f>
        <v>0.000171292699037823</v>
      </c>
      <c r="J6" s="5" t="n">
        <f aca="false">F6-H6</f>
        <v>-384.19</v>
      </c>
      <c r="K6" s="6" t="n">
        <f aca="false">IF($J$29=0,"",J6/$J$29)</f>
        <v>-0.000816176053204677</v>
      </c>
      <c r="L6" s="6" t="str">
        <f aca="false">IF(F6=0,"",J6/F6)</f>
        <v/>
      </c>
      <c r="M6" s="16" t="n">
        <v>0</v>
      </c>
      <c r="N6" s="5" t="n">
        <f aca="false">F6-M6</f>
        <v>0</v>
      </c>
      <c r="O6" s="11" t="n">
        <f aca="false">COUNTIF(Dettaglio!$A$5:$A$100,A6)-COUNTIFS(Dettaglio!$A$5:$A$100,A6,Dettaglio!$C$5:$C$100,"Base")</f>
        <v>1</v>
      </c>
      <c r="P6" s="4" t="s">
        <v>43</v>
      </c>
    </row>
    <row r="7" customFormat="false" ht="15" hidden="false" customHeight="false" outlineLevel="0" collapsed="false">
      <c r="A7" s="4" t="s">
        <v>49</v>
      </c>
      <c r="B7" s="15" t="s">
        <v>50</v>
      </c>
      <c r="C7" s="4" t="s">
        <v>51</v>
      </c>
      <c r="D7" s="4" t="s">
        <v>52</v>
      </c>
      <c r="E7" s="4" t="s">
        <v>53</v>
      </c>
      <c r="F7" s="5" t="n">
        <f aca="false">SUMIFS(Dettaglio!$H$5:$H$100,Dettaglio!$A$5:$A$100,A7)</f>
        <v>2732</v>
      </c>
      <c r="G7" s="6" t="n">
        <f aca="false">IF($F$29=0,"",F7/$F$29)</f>
        <v>0.00100677860496998</v>
      </c>
      <c r="H7" s="5" t="n">
        <f aca="false">SUMIFS(Dettaglio!$I$5:$I$100,Dettaglio!$A$5:$A$100,A7)</f>
        <v>62349.69</v>
      </c>
      <c r="I7" s="6" t="n">
        <f aca="false">IF($H$29=0,"",H7/$H$29)</f>
        <v>0.0277988669259261</v>
      </c>
      <c r="J7" s="5" t="n">
        <f aca="false">F7-H7</f>
        <v>-59617.69</v>
      </c>
      <c r="K7" s="6" t="n">
        <f aca="false">IF($J$29=0,"",J7/$J$29)</f>
        <v>-0.126652257803118</v>
      </c>
      <c r="L7" s="6" t="n">
        <f aca="false">IF(F7=0,"",J7/F7)</f>
        <v>-21.8219948755491</v>
      </c>
      <c r="M7" s="16" t="n">
        <v>2732</v>
      </c>
      <c r="N7" s="5" t="n">
        <f aca="false">F7-M7</f>
        <v>0</v>
      </c>
      <c r="O7" s="11" t="n">
        <f aca="false">COUNTIF(Dettaglio!$A$5:$A$100,A7)-COUNTIFS(Dettaglio!$A$5:$A$100,A7,Dettaglio!$C$5:$C$100,"Base")</f>
        <v>6</v>
      </c>
      <c r="P7" s="4" t="s">
        <v>43</v>
      </c>
    </row>
    <row r="8" customFormat="false" ht="15" hidden="false" customHeight="false" outlineLevel="0" collapsed="false">
      <c r="A8" s="4" t="s">
        <v>54</v>
      </c>
      <c r="B8" s="15" t="s">
        <v>55</v>
      </c>
      <c r="C8" s="4" t="s">
        <v>56</v>
      </c>
      <c r="D8" s="4" t="s">
        <v>57</v>
      </c>
      <c r="E8" s="4" t="s">
        <v>53</v>
      </c>
      <c r="F8" s="5" t="n">
        <f aca="false">SUMIFS(Dettaglio!$H$5:$H$100,Dettaglio!$A$5:$A$100,A8)</f>
        <v>0</v>
      </c>
      <c r="G8" s="6" t="n">
        <f aca="false">IF($F$29=0,"",F8/$F$29)</f>
        <v>0</v>
      </c>
      <c r="H8" s="5" t="n">
        <f aca="false">SUMIFS(Dettaglio!$I$5:$I$100,Dettaglio!$A$5:$A$100,A8)</f>
        <v>1881.96</v>
      </c>
      <c r="I8" s="6" t="n">
        <f aca="false">IF($H$29=0,"",H8/$H$29)</f>
        <v>0.000839079642575863</v>
      </c>
      <c r="J8" s="5" t="n">
        <f aca="false">F8-H8</f>
        <v>-1881.96</v>
      </c>
      <c r="K8" s="6" t="n">
        <f aca="false">IF($J$29=0,"",J8/$J$29)</f>
        <v>-0.00399804962411587</v>
      </c>
      <c r="L8" s="6" t="str">
        <f aca="false">IF(F8=0,"",J8/F8)</f>
        <v/>
      </c>
      <c r="M8" s="16" t="n">
        <v>0</v>
      </c>
      <c r="N8" s="5" t="n">
        <f aca="false">F8-M8</f>
        <v>0</v>
      </c>
      <c r="O8" s="11" t="n">
        <f aca="false">COUNTIF(Dettaglio!$A$5:$A$100,A8)-COUNTIFS(Dettaglio!$A$5:$A$100,A8,Dettaglio!$C$5:$C$100,"Base")</f>
        <v>0</v>
      </c>
      <c r="P8" s="4" t="s">
        <v>58</v>
      </c>
    </row>
    <row r="9" customFormat="false" ht="15" hidden="false" customHeight="false" outlineLevel="0" collapsed="false">
      <c r="A9" s="4" t="s">
        <v>59</v>
      </c>
      <c r="B9" s="15" t="s">
        <v>60</v>
      </c>
      <c r="C9" s="4" t="s">
        <v>56</v>
      </c>
      <c r="D9" s="4" t="s">
        <v>57</v>
      </c>
      <c r="E9" s="4" t="s">
        <v>42</v>
      </c>
      <c r="F9" s="5" t="n">
        <f aca="false">SUMIFS(Dettaglio!$H$5:$H$100,Dettaglio!$A$5:$A$100,A9)</f>
        <v>0</v>
      </c>
      <c r="G9" s="6" t="n">
        <f aca="false">IF($F$29=0,"",F9/$F$29)</f>
        <v>0</v>
      </c>
      <c r="H9" s="5" t="n">
        <f aca="false">SUMIFS(Dettaglio!$I$5:$I$100,Dettaglio!$A$5:$A$100,A9)</f>
        <v>17054.2</v>
      </c>
      <c r="I9" s="6" t="n">
        <f aca="false">IF($H$29=0,"",H9/$H$29)</f>
        <v>0.00760368554082833</v>
      </c>
      <c r="J9" s="5" t="n">
        <f aca="false">F9-H9</f>
        <v>-17054.2</v>
      </c>
      <c r="K9" s="6" t="n">
        <f aca="false">IF($J$29=0,"",J9/$J$29)</f>
        <v>-0.0362300675357589</v>
      </c>
      <c r="L9" s="6" t="str">
        <f aca="false">IF(F9=0,"",J9/F9)</f>
        <v/>
      </c>
      <c r="M9" s="16" t="n">
        <v>0</v>
      </c>
      <c r="N9" s="5" t="n">
        <f aca="false">F9-M9</f>
        <v>0</v>
      </c>
      <c r="O9" s="11" t="n">
        <f aca="false">COUNTIF(Dettaglio!$A$5:$A$100,A9)-COUNTIFS(Dettaglio!$A$5:$A$100,A9,Dettaglio!$C$5:$C$100,"Base")</f>
        <v>0</v>
      </c>
      <c r="P9" s="4"/>
    </row>
    <row r="10" customFormat="false" ht="15" hidden="false" customHeight="false" outlineLevel="0" collapsed="false">
      <c r="A10" s="4" t="s">
        <v>61</v>
      </c>
      <c r="B10" s="15" t="s">
        <v>62</v>
      </c>
      <c r="C10" s="4" t="s">
        <v>51</v>
      </c>
      <c r="D10" s="4" t="s">
        <v>52</v>
      </c>
      <c r="E10" s="4" t="s">
        <v>53</v>
      </c>
      <c r="F10" s="5" t="n">
        <f aca="false">SUMIFS(Dettaglio!$H$5:$H$100,Dettaglio!$A$5:$A$100,A10)</f>
        <v>866.04</v>
      </c>
      <c r="G10" s="6" t="n">
        <f aca="false">IF($F$29=0,"",F10/$F$29)</f>
        <v>0.000319147343721888</v>
      </c>
      <c r="H10" s="5" t="n">
        <f aca="false">SUMIFS(Dettaglio!$I$5:$I$100,Dettaglio!$A$5:$A$100,A10)</f>
        <v>0</v>
      </c>
      <c r="I10" s="6" t="n">
        <f aca="false">IF($H$29=0,"",H10/$H$29)</f>
        <v>0</v>
      </c>
      <c r="J10" s="5" t="n">
        <f aca="false">F10-H10</f>
        <v>866.04</v>
      </c>
      <c r="K10" s="6" t="n">
        <f aca="false">IF($J$29=0,"",J10/$J$29)</f>
        <v>0.00183982172653473</v>
      </c>
      <c r="L10" s="6" t="n">
        <f aca="false">IF(F10=0,"",J10/F10)</f>
        <v>1</v>
      </c>
      <c r="M10" s="16" t="n">
        <v>866.04</v>
      </c>
      <c r="N10" s="5" t="n">
        <f aca="false">F10-M10</f>
        <v>0</v>
      </c>
      <c r="O10" s="11" t="n">
        <f aca="false">COUNTIF(Dettaglio!$A$5:$A$100,A10)-COUNTIFS(Dettaglio!$A$5:$A$100,A10,Dettaglio!$C$5:$C$100,"Base")</f>
        <v>0</v>
      </c>
      <c r="P10" s="4" t="s">
        <v>43</v>
      </c>
    </row>
    <row r="11" customFormat="false" ht="15" hidden="false" customHeight="false" outlineLevel="0" collapsed="false">
      <c r="A11" s="4" t="s">
        <v>63</v>
      </c>
      <c r="B11" s="15" t="s">
        <v>64</v>
      </c>
      <c r="C11" s="4" t="s">
        <v>51</v>
      </c>
      <c r="D11" s="4" t="s">
        <v>52</v>
      </c>
      <c r="E11" s="4" t="s">
        <v>53</v>
      </c>
      <c r="F11" s="5" t="n">
        <f aca="false">SUMIFS(Dettaglio!$H$5:$H$100,Dettaglio!$A$5:$A$100,A11)</f>
        <v>655395.07</v>
      </c>
      <c r="G11" s="6" t="n">
        <f aca="false">IF($F$29=0,"",F11/$F$29)</f>
        <v>0.241521864670132</v>
      </c>
      <c r="H11" s="5" t="n">
        <f aca="false">SUMIFS(Dettaglio!$I$5:$I$100,Dettaglio!$A$5:$A$100,A11)</f>
        <v>557535.82</v>
      </c>
      <c r="I11" s="6" t="n">
        <f aca="false">IF($H$29=0,"",H11/$H$29)</f>
        <v>0.248579649178963</v>
      </c>
      <c r="J11" s="5" t="n">
        <f aca="false">F11-H11</f>
        <v>97859.25</v>
      </c>
      <c r="K11" s="6" t="n">
        <f aca="false">IF($J$29=0,"",J11/$J$29)</f>
        <v>0.207892908286446</v>
      </c>
      <c r="L11" s="6" t="n">
        <f aca="false">IF(F11=0,"",J11/F11)</f>
        <v>0.149313375213518</v>
      </c>
      <c r="M11" s="16" t="n">
        <v>655395.07</v>
      </c>
      <c r="N11" s="5" t="n">
        <f aca="false">F11-M11</f>
        <v>0</v>
      </c>
      <c r="O11" s="11" t="n">
        <f aca="false">COUNTIF(Dettaglio!$A$5:$A$100,A11)-COUNTIFS(Dettaglio!$A$5:$A$100,A11,Dettaglio!$C$5:$C$100,"Base")</f>
        <v>25</v>
      </c>
      <c r="P11" s="4" t="s">
        <v>43</v>
      </c>
    </row>
    <row r="12" customFormat="false" ht="15" hidden="false" customHeight="false" outlineLevel="0" collapsed="false">
      <c r="A12" s="4" t="s">
        <v>65</v>
      </c>
      <c r="B12" s="15" t="s">
        <v>66</v>
      </c>
      <c r="C12" s="4" t="s">
        <v>40</v>
      </c>
      <c r="D12" s="4" t="s">
        <v>41</v>
      </c>
      <c r="E12" s="4" t="s">
        <v>53</v>
      </c>
      <c r="F12" s="5" t="n">
        <f aca="false">SUMIFS(Dettaglio!$H$5:$H$100,Dettaglio!$A$5:$A$100,A12)</f>
        <v>0</v>
      </c>
      <c r="G12" s="6" t="n">
        <f aca="false">IF($F$29=0,"",F12/$F$29)</f>
        <v>0</v>
      </c>
      <c r="H12" s="5" t="n">
        <f aca="false">SUMIFS(Dettaglio!$I$5:$I$100,Dettaglio!$A$5:$A$100,A12)</f>
        <v>63.74</v>
      </c>
      <c r="I12" s="6" t="n">
        <f aca="false">IF($H$29=0,"",H12/$H$29)</f>
        <v>2.84187423844213E-005</v>
      </c>
      <c r="J12" s="5" t="n">
        <f aca="false">F12-H12</f>
        <v>-63.74</v>
      </c>
      <c r="K12" s="6" t="n">
        <f aca="false">IF($J$29=0,"",J12/$J$29)</f>
        <v>-0.000135409723395367</v>
      </c>
      <c r="L12" s="6" t="str">
        <f aca="false">IF(F12=0,"",J12/F12)</f>
        <v/>
      </c>
      <c r="M12" s="16" t="n">
        <v>0</v>
      </c>
      <c r="N12" s="5" t="n">
        <f aca="false">F12-M12</f>
        <v>0</v>
      </c>
      <c r="O12" s="11" t="n">
        <f aca="false">COUNTIF(Dettaglio!$A$5:$A$100,A12)-COUNTIFS(Dettaglio!$A$5:$A$100,A12,Dettaglio!$C$5:$C$100,"Base")</f>
        <v>0</v>
      </c>
      <c r="P12" s="4" t="s">
        <v>67</v>
      </c>
    </row>
    <row r="13" customFormat="false" ht="15" hidden="false" customHeight="false" outlineLevel="0" collapsed="false">
      <c r="A13" s="4" t="s">
        <v>68</v>
      </c>
      <c r="B13" s="15" t="s">
        <v>69</v>
      </c>
      <c r="C13" s="4" t="s">
        <v>56</v>
      </c>
      <c r="D13" s="4" t="s">
        <v>57</v>
      </c>
      <c r="E13" s="4" t="s">
        <v>53</v>
      </c>
      <c r="F13" s="5" t="n">
        <f aca="false">SUMIFS(Dettaglio!$H$5:$H$100,Dettaglio!$A$5:$A$100,A13)</f>
        <v>11672</v>
      </c>
      <c r="G13" s="6" t="n">
        <f aca="false">IF($F$29=0,"",F13/$F$29)</f>
        <v>0.00430128838843688</v>
      </c>
      <c r="H13" s="5" t="n">
        <f aca="false">SUMIFS(Dettaglio!$I$5:$I$100,Dettaglio!$A$5:$A$100,A13)</f>
        <v>7441.8</v>
      </c>
      <c r="I13" s="6" t="n">
        <f aca="false">IF($H$29=0,"",H13/$H$29)</f>
        <v>0.00331795728077167</v>
      </c>
      <c r="J13" s="5" t="n">
        <f aca="false">F13-H13</f>
        <v>4230.2</v>
      </c>
      <c r="K13" s="6" t="n">
        <f aca="false">IF($J$29=0,"",J13/$J$29)</f>
        <v>0.00898666789938943</v>
      </c>
      <c r="L13" s="6" t="n">
        <f aca="false">IF(F13=0,"",J13/F13)</f>
        <v>0.362422892392049</v>
      </c>
      <c r="M13" s="16" t="n">
        <v>11672</v>
      </c>
      <c r="N13" s="5" t="n">
        <f aca="false">F13-M13</f>
        <v>0</v>
      </c>
      <c r="O13" s="11" t="n">
        <f aca="false">COUNTIF(Dettaglio!$A$5:$A$100,A13)-COUNTIFS(Dettaglio!$A$5:$A$100,A13,Dettaglio!$C$5:$C$100,"Base")</f>
        <v>0</v>
      </c>
      <c r="P13" s="4" t="s">
        <v>70</v>
      </c>
    </row>
    <row r="14" customFormat="false" ht="15" hidden="false" customHeight="false" outlineLevel="0" collapsed="false">
      <c r="A14" s="4" t="s">
        <v>71</v>
      </c>
      <c r="B14" s="15" t="s">
        <v>72</v>
      </c>
      <c r="C14" s="4" t="s">
        <v>40</v>
      </c>
      <c r="D14" s="4" t="s">
        <v>41</v>
      </c>
      <c r="E14" s="4" t="s">
        <v>53</v>
      </c>
      <c r="F14" s="5" t="n">
        <f aca="false">SUMIFS(Dettaglio!$H$5:$H$100,Dettaglio!$A$5:$A$100,A14)</f>
        <v>28386.98</v>
      </c>
      <c r="G14" s="6" t="n">
        <f aca="false">IF($F$29=0,"",F14/$F$29)</f>
        <v>0.010460982475736</v>
      </c>
      <c r="H14" s="5" t="n">
        <f aca="false">SUMIFS(Dettaglio!$I$5:$I$100,Dettaglio!$A$5:$A$100,A14)</f>
        <v>9526.72</v>
      </c>
      <c r="I14" s="6" t="n">
        <f aca="false">IF($H$29=0,"",H14/$H$29)</f>
        <v>0.00424752747801246</v>
      </c>
      <c r="J14" s="5" t="n">
        <f aca="false">F14-H14</f>
        <v>18860.26</v>
      </c>
      <c r="K14" s="6" t="n">
        <f aca="false">IF($J$29=0,"",J14/$J$29)</f>
        <v>0.040066874643312</v>
      </c>
      <c r="L14" s="6" t="n">
        <f aca="false">IF(F14=0,"",J14/F14)</f>
        <v>0.664398255820098</v>
      </c>
      <c r="M14" s="16" t="n">
        <v>28386.98</v>
      </c>
      <c r="N14" s="5" t="n">
        <f aca="false">F14-M14</f>
        <v>0</v>
      </c>
      <c r="O14" s="11" t="n">
        <f aca="false">COUNTIF(Dettaglio!$A$5:$A$100,A14)-COUNTIFS(Dettaglio!$A$5:$A$100,A14,Dettaglio!$C$5:$C$100,"Base")</f>
        <v>0</v>
      </c>
      <c r="P14" s="4"/>
    </row>
    <row r="15" customFormat="false" ht="15" hidden="false" customHeight="false" outlineLevel="0" collapsed="false">
      <c r="A15" s="4" t="s">
        <v>73</v>
      </c>
      <c r="B15" s="15" t="s">
        <v>74</v>
      </c>
      <c r="C15" s="4" t="s">
        <v>40</v>
      </c>
      <c r="D15" s="4" t="s">
        <v>41</v>
      </c>
      <c r="E15" s="4" t="s">
        <v>53</v>
      </c>
      <c r="F15" s="5" t="n">
        <f aca="false">SUMIFS(Dettaglio!$H$5:$H$100,Dettaglio!$A$5:$A$100,A15)</f>
        <v>23808.41</v>
      </c>
      <c r="G15" s="6" t="n">
        <f aca="false">IF($F$29=0,"",F15/$F$29)</f>
        <v>0.00877371808431671</v>
      </c>
      <c r="H15" s="5" t="n">
        <f aca="false">SUMIFS(Dettaglio!$I$5:$I$100,Dettaglio!$A$5:$A$100,A15)</f>
        <v>18743.37</v>
      </c>
      <c r="I15" s="6" t="n">
        <f aca="false">IF($H$29=0,"",H15/$H$29)</f>
        <v>0.00835680896526342</v>
      </c>
      <c r="J15" s="5" t="n">
        <f aca="false">F15-H15</f>
        <v>5065.04</v>
      </c>
      <c r="K15" s="6" t="n">
        <f aca="false">IF($J$29=0,"",J15/$J$29)</f>
        <v>0.0107602081171395</v>
      </c>
      <c r="L15" s="6" t="n">
        <f aca="false">IF(F15=0,"",J15/F15)</f>
        <v>0.212741632053548</v>
      </c>
      <c r="M15" s="16" t="n">
        <v>23808.41</v>
      </c>
      <c r="N15" s="5" t="n">
        <f aca="false">F15-M15</f>
        <v>0</v>
      </c>
      <c r="O15" s="11" t="n">
        <f aca="false">COUNTIF(Dettaglio!$A$5:$A$100,A15)-COUNTIFS(Dettaglio!$A$5:$A$100,A15,Dettaglio!$C$5:$C$100,"Base")</f>
        <v>2</v>
      </c>
      <c r="P15" s="4" t="s">
        <v>43</v>
      </c>
    </row>
    <row r="16" customFormat="false" ht="15" hidden="false" customHeight="false" outlineLevel="0" collapsed="false">
      <c r="A16" s="4" t="s">
        <v>75</v>
      </c>
      <c r="B16" s="15" t="s">
        <v>76</v>
      </c>
      <c r="C16" s="4" t="s">
        <v>77</v>
      </c>
      <c r="D16" s="4" t="s">
        <v>78</v>
      </c>
      <c r="E16" s="4" t="s">
        <v>42</v>
      </c>
      <c r="F16" s="5" t="n">
        <f aca="false">SUMIFS(Dettaglio!$H$5:$H$100,Dettaglio!$A$5:$A$100,A16)</f>
        <v>625699.99</v>
      </c>
      <c r="G16" s="6" t="n">
        <f aca="false">IF($F$29=0,"",F16/$F$29)</f>
        <v>0.23057882981769</v>
      </c>
      <c r="H16" s="5" t="n">
        <f aca="false">SUMIFS(Dettaglio!$I$5:$I$100,Dettaglio!$A$5:$A$100,A16)</f>
        <v>521722.95</v>
      </c>
      <c r="I16" s="6" t="n">
        <f aca="false">IF($H$29=0,"",H16/$H$29)</f>
        <v>0.232612333104649</v>
      </c>
      <c r="J16" s="5" t="n">
        <f aca="false">F16-H16</f>
        <v>103977.04</v>
      </c>
      <c r="K16" s="6" t="n">
        <f aca="false">IF($J$29=0,"",J16/$J$29)</f>
        <v>0.220889586223235</v>
      </c>
      <c r="L16" s="6" t="n">
        <f aca="false">IF(F16=0,"",J16/F16)</f>
        <v>0.166177148252791</v>
      </c>
      <c r="M16" s="16" t="n">
        <v>625699.99</v>
      </c>
      <c r="N16" s="5" t="n">
        <f aca="false">F16-M16</f>
        <v>0</v>
      </c>
      <c r="O16" s="11" t="n">
        <f aca="false">COUNTIF(Dettaglio!$A$5:$A$100,A16)-COUNTIFS(Dettaglio!$A$5:$A$100,A16,Dettaglio!$C$5:$C$100,"Base")</f>
        <v>0</v>
      </c>
      <c r="P16" s="4" t="s">
        <v>43</v>
      </c>
    </row>
    <row r="17" customFormat="false" ht="15" hidden="false" customHeight="false" outlineLevel="0" collapsed="false">
      <c r="A17" s="4" t="s">
        <v>79</v>
      </c>
      <c r="B17" s="15" t="s">
        <v>80</v>
      </c>
      <c r="C17" s="4" t="s">
        <v>56</v>
      </c>
      <c r="D17" s="4" t="s">
        <v>57</v>
      </c>
      <c r="E17" s="4" t="s">
        <v>53</v>
      </c>
      <c r="F17" s="5" t="n">
        <f aca="false">SUMIFS(Dettaglio!$H$5:$H$100,Dettaglio!$A$5:$A$100,A17)</f>
        <v>57217.58</v>
      </c>
      <c r="G17" s="6" t="n">
        <f aca="false">IF($F$29=0,"",F17/$F$29)</f>
        <v>0.021085444865358</v>
      </c>
      <c r="H17" s="5" t="n">
        <f aca="false">SUMIFS(Dettaglio!$I$5:$I$100,Dettaglio!$A$5:$A$100,A17)</f>
        <v>32109.25</v>
      </c>
      <c r="I17" s="6" t="n">
        <f aca="false">IF($H$29=0,"",H17/$H$29)</f>
        <v>0.014316041793332</v>
      </c>
      <c r="J17" s="5" t="n">
        <f aca="false">F17-H17</f>
        <v>25108.33</v>
      </c>
      <c r="K17" s="6" t="n">
        <f aca="false">IF($J$29=0,"",J17/$J$29)</f>
        <v>0.0533403203674239</v>
      </c>
      <c r="L17" s="6" t="n">
        <f aca="false">IF(F17=0,"",J17/F17)</f>
        <v>0.438821949477765</v>
      </c>
      <c r="M17" s="16" t="n">
        <v>57217.58</v>
      </c>
      <c r="N17" s="5" t="n">
        <f aca="false">F17-M17</f>
        <v>0</v>
      </c>
      <c r="O17" s="11" t="n">
        <f aca="false">COUNTIF(Dettaglio!$A$5:$A$100,A17)-COUNTIFS(Dettaglio!$A$5:$A$100,A17,Dettaglio!$C$5:$C$100,"Base")</f>
        <v>1</v>
      </c>
      <c r="P17" s="4"/>
    </row>
    <row r="18" customFormat="false" ht="15" hidden="false" customHeight="false" outlineLevel="0" collapsed="false">
      <c r="A18" s="4" t="s">
        <v>81</v>
      </c>
      <c r="B18" s="15" t="s">
        <v>82</v>
      </c>
      <c r="C18" s="4" t="s">
        <v>83</v>
      </c>
      <c r="D18" s="4" t="s">
        <v>84</v>
      </c>
      <c r="E18" s="4" t="s">
        <v>53</v>
      </c>
      <c r="F18" s="5" t="n">
        <f aca="false">SUMIFS(Dettaglio!$H$5:$H$100,Dettaglio!$A$5:$A$100,A18)</f>
        <v>2754.78</v>
      </c>
      <c r="G18" s="6" t="n">
        <f aca="false">IF($F$29=0,"",F18/$F$29)</f>
        <v>0.00101517334019004</v>
      </c>
      <c r="H18" s="5" t="n">
        <f aca="false">SUMIFS(Dettaglio!$I$5:$I$100,Dettaglio!$A$5:$A$100,A18)</f>
        <v>1465.57</v>
      </c>
      <c r="I18" s="6" t="n">
        <f aca="false">IF($H$29=0,"",H18/$H$29)</f>
        <v>0.000653430440482214</v>
      </c>
      <c r="J18" s="5" t="n">
        <f aca="false">F18-H18</f>
        <v>1289.21</v>
      </c>
      <c r="K18" s="6" t="n">
        <f aca="false">IF($J$29=0,"",J18/$J$29)</f>
        <v>0.0027388071775736</v>
      </c>
      <c r="L18" s="6" t="n">
        <f aca="false">IF(F18=0,"",J18/F18)</f>
        <v>0.467990184334139</v>
      </c>
      <c r="M18" s="16" t="n">
        <v>2754.78</v>
      </c>
      <c r="N18" s="5" t="n">
        <f aca="false">F18-M18</f>
        <v>0</v>
      </c>
      <c r="O18" s="11" t="n">
        <f aca="false">COUNTIF(Dettaglio!$A$5:$A$100,A18)-COUNTIFS(Dettaglio!$A$5:$A$100,A18,Dettaglio!$C$5:$C$100,"Base")</f>
        <v>0</v>
      </c>
      <c r="P18" s="4" t="s">
        <v>43</v>
      </c>
    </row>
    <row r="19" customFormat="false" ht="15" hidden="false" customHeight="false" outlineLevel="0" collapsed="false">
      <c r="A19" s="4" t="s">
        <v>85</v>
      </c>
      <c r="B19" s="15" t="s">
        <v>86</v>
      </c>
      <c r="C19" s="4" t="s">
        <v>87</v>
      </c>
      <c r="D19" s="4" t="s">
        <v>88</v>
      </c>
      <c r="E19" s="4" t="s">
        <v>53</v>
      </c>
      <c r="F19" s="5" t="n">
        <f aca="false">SUMIFS(Dettaglio!$H$5:$H$100,Dettaglio!$A$5:$A$100,A19)</f>
        <v>11741.5</v>
      </c>
      <c r="G19" s="6" t="n">
        <f aca="false">IF($F$29=0,"",F19/$F$29)</f>
        <v>0.00432690006963945</v>
      </c>
      <c r="H19" s="5" t="n">
        <f aca="false">SUMIFS(Dettaglio!$I$5:$I$100,Dettaglio!$A$5:$A$100,A19)</f>
        <v>4966.25</v>
      </c>
      <c r="I19" s="6" t="n">
        <f aca="false">IF($H$29=0,"",H19/$H$29)</f>
        <v>0.0022142230838819</v>
      </c>
      <c r="J19" s="5" t="n">
        <f aca="false">F19-H19</f>
        <v>6775.25</v>
      </c>
      <c r="K19" s="6" t="n">
        <f aca="false">IF($J$29=0,"",J19/$J$29)</f>
        <v>0.0143933907818397</v>
      </c>
      <c r="L19" s="6" t="n">
        <f aca="false">IF(F19=0,"",J19/F19)</f>
        <v>0.57703445045352</v>
      </c>
      <c r="M19" s="16" t="n">
        <v>11741.5</v>
      </c>
      <c r="N19" s="5" t="n">
        <f aca="false">F19-M19</f>
        <v>0</v>
      </c>
      <c r="O19" s="11" t="n">
        <f aca="false">COUNTIF(Dettaglio!$A$5:$A$100,A19)-COUNTIFS(Dettaglio!$A$5:$A$100,A19,Dettaglio!$C$5:$C$100,"Base")</f>
        <v>0</v>
      </c>
      <c r="P19" s="4"/>
    </row>
    <row r="20" customFormat="false" ht="15" hidden="false" customHeight="false" outlineLevel="0" collapsed="false">
      <c r="A20" s="4" t="s">
        <v>89</v>
      </c>
      <c r="B20" s="15" t="s">
        <v>90</v>
      </c>
      <c r="C20" s="4" t="s">
        <v>51</v>
      </c>
      <c r="D20" s="4" t="s">
        <v>52</v>
      </c>
      <c r="E20" s="4" t="s">
        <v>42</v>
      </c>
      <c r="F20" s="5" t="n">
        <f aca="false">SUMIFS(Dettaglio!$H$5:$H$100,Dettaglio!$A$5:$A$100,A20)</f>
        <v>584838.81</v>
      </c>
      <c r="G20" s="6" t="n">
        <f aca="false">IF($F$29=0,"",F20/$F$29)</f>
        <v>0.215520937505162</v>
      </c>
      <c r="H20" s="5" t="n">
        <f aca="false">SUMIFS(Dettaglio!$I$5:$I$100,Dettaglio!$A$5:$A$100,A20)</f>
        <v>509568.27</v>
      </c>
      <c r="I20" s="6" t="n">
        <f aca="false">IF($H$29=0,"",H20/$H$29)</f>
        <v>0.227193118801463</v>
      </c>
      <c r="J20" s="5" t="n">
        <f aca="false">F20-H20</f>
        <v>75270.54</v>
      </c>
      <c r="K20" s="6" t="n">
        <f aca="false">IF($J$29=0,"",J20/$J$29)</f>
        <v>0.159905287122999</v>
      </c>
      <c r="L20" s="6" t="n">
        <f aca="false">IF(F20=0,"",J20/F20)</f>
        <v>0.128703052384639</v>
      </c>
      <c r="M20" s="16" t="n">
        <v>584838.81</v>
      </c>
      <c r="N20" s="5" t="n">
        <f aca="false">F20-M20</f>
        <v>0</v>
      </c>
      <c r="O20" s="11" t="n">
        <f aca="false">COUNTIF(Dettaglio!$A$5:$A$100,A20)-COUNTIFS(Dettaglio!$A$5:$A$100,A20,Dettaglio!$C$5:$C$100,"Base")</f>
        <v>26</v>
      </c>
      <c r="P20" s="4" t="s">
        <v>43</v>
      </c>
    </row>
    <row r="21" customFormat="false" ht="15" hidden="false" customHeight="false" outlineLevel="0" collapsed="false">
      <c r="A21" s="4" t="s">
        <v>91</v>
      </c>
      <c r="B21" s="15" t="s">
        <v>92</v>
      </c>
      <c r="C21" s="4" t="s">
        <v>87</v>
      </c>
      <c r="D21" s="4" t="s">
        <v>88</v>
      </c>
      <c r="E21" s="4" t="s">
        <v>53</v>
      </c>
      <c r="F21" s="5" t="n">
        <f aca="false">SUMIFS(Dettaglio!$H$5:$H$100,Dettaglio!$A$5:$A$100,A21)</f>
        <v>11576</v>
      </c>
      <c r="G21" s="6" t="n">
        <f aca="false">IF($F$29=0,"",F21/$F$29)</f>
        <v>0.00426591110217147</v>
      </c>
      <c r="H21" s="5" t="n">
        <f aca="false">SUMIFS(Dettaglio!$I$5:$I$100,Dettaglio!$A$5:$A$100,A21)</f>
        <v>6207.44</v>
      </c>
      <c r="I21" s="6" t="n">
        <f aca="false">IF($H$29=0,"",H21/$H$29)</f>
        <v>0.00276761277418814</v>
      </c>
      <c r="J21" s="5" t="n">
        <f aca="false">F21-H21</f>
        <v>5368.56</v>
      </c>
      <c r="K21" s="6" t="n">
        <f aca="false">IF($J$29=0,"",J21/$J$29)</f>
        <v>0.0114050082308038</v>
      </c>
      <c r="L21" s="6" t="n">
        <f aca="false">IF(F21=0,"",J21/F21)</f>
        <v>0.463766413268832</v>
      </c>
      <c r="M21" s="16" t="n">
        <v>11576</v>
      </c>
      <c r="N21" s="5" t="n">
        <f aca="false">F21-M21</f>
        <v>0</v>
      </c>
      <c r="O21" s="11" t="n">
        <f aca="false">COUNTIF(Dettaglio!$A$5:$A$100,A21)-COUNTIFS(Dettaglio!$A$5:$A$100,A21,Dettaglio!$C$5:$C$100,"Base")</f>
        <v>0</v>
      </c>
      <c r="P21" s="4"/>
    </row>
    <row r="22" customFormat="false" ht="15" hidden="false" customHeight="false" outlineLevel="0" collapsed="false">
      <c r="A22" s="4" t="s">
        <v>93</v>
      </c>
      <c r="B22" s="15" t="s">
        <v>94</v>
      </c>
      <c r="C22" s="4" t="s">
        <v>87</v>
      </c>
      <c r="D22" s="4" t="s">
        <v>88</v>
      </c>
      <c r="E22" s="4" t="s">
        <v>53</v>
      </c>
      <c r="F22" s="5" t="n">
        <f aca="false">SUMIFS(Dettaglio!$H$5:$H$100,Dettaglio!$A$5:$A$100,A22)</f>
        <v>630.78</v>
      </c>
      <c r="G22" s="6" t="n">
        <f aca="false">IF($F$29=0,"",F22/$F$29)</f>
        <v>0.000232450881567702</v>
      </c>
      <c r="H22" s="5" t="n">
        <f aca="false">SUMIFS(Dettaglio!$I$5:$I$100,Dettaglio!$A$5:$A$100,A22)</f>
        <v>522.24</v>
      </c>
      <c r="I22" s="6" t="n">
        <f aca="false">IF($H$29=0,"",H22/$H$29)</f>
        <v>0.000232842861983687</v>
      </c>
      <c r="J22" s="5" t="n">
        <f aca="false">F22-H22</f>
        <v>108.54</v>
      </c>
      <c r="K22" s="6" t="n">
        <f aca="false">IF($J$29=0,"",J22/$J$29)</f>
        <v>0.000230583171906701</v>
      </c>
      <c r="L22" s="6" t="n">
        <f aca="false">IF(F22=0,"",J22/F22)</f>
        <v>0.172072671929991</v>
      </c>
      <c r="M22" s="16" t="n">
        <v>630.78</v>
      </c>
      <c r="N22" s="5" t="n">
        <f aca="false">F22-M22</f>
        <v>0</v>
      </c>
      <c r="O22" s="11" t="n">
        <f aca="false">COUNTIF(Dettaglio!$A$5:$A$100,A22)-COUNTIFS(Dettaglio!$A$5:$A$100,A22,Dettaglio!$C$5:$C$100,"Base")</f>
        <v>0</v>
      </c>
      <c r="P22" s="4" t="s">
        <v>95</v>
      </c>
    </row>
    <row r="23" customFormat="false" ht="15" hidden="false" customHeight="false" outlineLevel="0" collapsed="false">
      <c r="A23" s="4" t="s">
        <v>96</v>
      </c>
      <c r="B23" s="15" t="s">
        <v>97</v>
      </c>
      <c r="C23" s="4" t="s">
        <v>98</v>
      </c>
      <c r="D23" s="4" t="s">
        <v>99</v>
      </c>
      <c r="E23" s="4" t="s">
        <v>42</v>
      </c>
      <c r="F23" s="5" t="n">
        <f aca="false">SUMIFS(Dettaglio!$H$5:$H$100,Dettaglio!$A$5:$A$100,A23)</f>
        <v>147814.35</v>
      </c>
      <c r="G23" s="6" t="n">
        <f aca="false">IF($F$29=0,"",F23/$F$29)</f>
        <v>0.0544715684800673</v>
      </c>
      <c r="H23" s="5" t="n">
        <f aca="false">SUMIFS(Dettaglio!$I$5:$I$100,Dettaglio!$A$5:$A$100,A23)</f>
        <v>128804.49</v>
      </c>
      <c r="I23" s="6" t="n">
        <f aca="false">IF($H$29=0,"",H23/$H$29)</f>
        <v>0.0574280141083585</v>
      </c>
      <c r="J23" s="5" t="n">
        <f aca="false">F23-H23</f>
        <v>19009.86</v>
      </c>
      <c r="K23" s="6" t="n">
        <f aca="false">IF($J$29=0,"",J23/$J$29)</f>
        <v>0.0403846859803052</v>
      </c>
      <c r="L23" s="6" t="n">
        <f aca="false">IF(F23=0,"",J23/F23)</f>
        <v>0.128606322728477</v>
      </c>
      <c r="M23" s="16" t="n">
        <v>147814.35</v>
      </c>
      <c r="N23" s="5" t="n">
        <f aca="false">F23-M23</f>
        <v>0</v>
      </c>
      <c r="O23" s="11" t="n">
        <f aca="false">COUNTIF(Dettaglio!$A$5:$A$100,A23)-COUNTIFS(Dettaglio!$A$5:$A$100,A23,Dettaglio!$C$5:$C$100,"Base")</f>
        <v>1</v>
      </c>
      <c r="P23" s="4" t="s">
        <v>43</v>
      </c>
    </row>
    <row r="24" customFormat="false" ht="15" hidden="false" customHeight="false" outlineLevel="0" collapsed="false">
      <c r="A24" s="4" t="s">
        <v>100</v>
      </c>
      <c r="B24" s="15" t="s">
        <v>101</v>
      </c>
      <c r="C24" s="4" t="s">
        <v>102</v>
      </c>
      <c r="D24" s="4" t="s">
        <v>103</v>
      </c>
      <c r="E24" s="4" t="s">
        <v>53</v>
      </c>
      <c r="F24" s="5" t="n">
        <f aca="false">SUMIFS(Dettaglio!$H$5:$H$100,Dettaglio!$A$5:$A$100,A24)</f>
        <v>5278</v>
      </c>
      <c r="G24" s="6" t="n">
        <f aca="false">IF($F$29=0,"",F24/$F$29)</f>
        <v>0.00194501371780071</v>
      </c>
      <c r="H24" s="5" t="n">
        <f aca="false">SUMIFS(Dettaglio!$I$5:$I$100,Dettaglio!$A$5:$A$100,A24)</f>
        <v>3964.27</v>
      </c>
      <c r="I24" s="6" t="n">
        <f aca="false">IF($H$29=0,"",H24/$H$29)</f>
        <v>0.00176748616053169</v>
      </c>
      <c r="J24" s="5" t="n">
        <f aca="false">F24-H24</f>
        <v>1313.73</v>
      </c>
      <c r="K24" s="6" t="n">
        <f aca="false">IF($J$29=0,"",J24/$J$29)</f>
        <v>0.00279089764537489</v>
      </c>
      <c r="L24" s="6" t="n">
        <f aca="false">IF(F24=0,"",J24/F24)</f>
        <v>0.2489067828723</v>
      </c>
      <c r="M24" s="16" t="n">
        <v>5278</v>
      </c>
      <c r="N24" s="5" t="n">
        <f aca="false">F24-M24</f>
        <v>0</v>
      </c>
      <c r="O24" s="11" t="n">
        <f aca="false">COUNTIF(Dettaglio!$A$5:$A$100,A24)-COUNTIFS(Dettaglio!$A$5:$A$100,A24,Dettaglio!$C$5:$C$100,"Base")</f>
        <v>0</v>
      </c>
      <c r="P24" s="4" t="s">
        <v>43</v>
      </c>
    </row>
    <row r="25" customFormat="false" ht="15" hidden="false" customHeight="false" outlineLevel="0" collapsed="false">
      <c r="A25" s="4" t="s">
        <v>104</v>
      </c>
      <c r="B25" s="15" t="s">
        <v>105</v>
      </c>
      <c r="C25" s="4" t="s">
        <v>56</v>
      </c>
      <c r="D25" s="4" t="s">
        <v>57</v>
      </c>
      <c r="E25" s="4" t="s">
        <v>53</v>
      </c>
      <c r="F25" s="5" t="n">
        <f aca="false">SUMIFS(Dettaglio!$H$5:$H$100,Dettaglio!$A$5:$A$100,A25)</f>
        <v>4959</v>
      </c>
      <c r="G25" s="6" t="n">
        <f aca="false">IF($F$29=0,"",F25/$F$29)</f>
        <v>0.00182745794364792</v>
      </c>
      <c r="H25" s="5" t="n">
        <f aca="false">SUMIFS(Dettaglio!$I$5:$I$100,Dettaglio!$A$5:$A$100,A25)</f>
        <v>3982.62</v>
      </c>
      <c r="I25" s="6" t="n">
        <f aca="false">IF($H$29=0,"",H25/$H$29)</f>
        <v>0.00177566758385698</v>
      </c>
      <c r="J25" s="5" t="n">
        <f aca="false">F25-H25</f>
        <v>976.38</v>
      </c>
      <c r="K25" s="6" t="n">
        <f aca="false">IF($J$29=0,"",J25/$J$29)</f>
        <v>0.00207422883164055</v>
      </c>
      <c r="L25" s="6" t="n">
        <f aca="false">IF(F25=0,"",J25/F25)</f>
        <v>0.196890502117362</v>
      </c>
      <c r="M25" s="16" t="n">
        <v>4959</v>
      </c>
      <c r="N25" s="5" t="n">
        <f aca="false">F25-M25</f>
        <v>0</v>
      </c>
      <c r="O25" s="11" t="n">
        <f aca="false">COUNTIF(Dettaglio!$A$5:$A$100,A25)-COUNTIFS(Dettaglio!$A$5:$A$100,A25,Dettaglio!$C$5:$C$100,"Base")</f>
        <v>0</v>
      </c>
      <c r="P25" s="4" t="s">
        <v>43</v>
      </c>
    </row>
    <row r="26" customFormat="false" ht="15" hidden="false" customHeight="false" outlineLevel="0" collapsed="false">
      <c r="A26" s="4" t="s">
        <v>106</v>
      </c>
      <c r="B26" s="15" t="s">
        <v>107</v>
      </c>
      <c r="C26" s="4" t="s">
        <v>56</v>
      </c>
      <c r="D26" s="4" t="s">
        <v>57</v>
      </c>
      <c r="E26" s="4" t="s">
        <v>53</v>
      </c>
      <c r="F26" s="5" t="n">
        <f aca="false">SUMIFS(Dettaglio!$H$5:$H$100,Dettaglio!$A$5:$A$100,A26)</f>
        <v>6000</v>
      </c>
      <c r="G26" s="6" t="n">
        <f aca="false">IF($F$29=0,"",F26/$F$29)</f>
        <v>0.00221108039158853</v>
      </c>
      <c r="H26" s="5" t="n">
        <f aca="false">SUMIFS(Dettaglio!$I$5:$I$100,Dettaglio!$A$5:$A$100,A26)</f>
        <v>4549.33</v>
      </c>
      <c r="I26" s="6" t="n">
        <f aca="false">IF($H$29=0,"",H26/$H$29)</f>
        <v>0.0020283375790982</v>
      </c>
      <c r="J26" s="5" t="n">
        <f aca="false">F26-H26</f>
        <v>1450.67</v>
      </c>
      <c r="K26" s="6" t="n">
        <f aca="false">IF($J$29=0,"",J26/$J$29)</f>
        <v>0.00308181398553432</v>
      </c>
      <c r="L26" s="6" t="n">
        <f aca="false">IF(F26=0,"",J26/F26)</f>
        <v>0.241778333333333</v>
      </c>
      <c r="M26" s="16" t="n">
        <v>6000</v>
      </c>
      <c r="N26" s="5" t="n">
        <f aca="false">F26-M26</f>
        <v>0</v>
      </c>
      <c r="O26" s="11" t="n">
        <f aca="false">COUNTIF(Dettaglio!$A$5:$A$100,A26)-COUNTIFS(Dettaglio!$A$5:$A$100,A26,Dettaglio!$C$5:$C$100,"Base")</f>
        <v>0</v>
      </c>
      <c r="P26" s="4" t="s">
        <v>43</v>
      </c>
    </row>
    <row r="27" customFormat="false" ht="15" hidden="false" customHeight="false" outlineLevel="0" collapsed="false">
      <c r="A27" s="4" t="s">
        <v>108</v>
      </c>
      <c r="B27" s="15" t="s">
        <v>109</v>
      </c>
      <c r="C27" s="4" t="s">
        <v>87</v>
      </c>
      <c r="D27" s="4" t="s">
        <v>88</v>
      </c>
      <c r="E27" s="4" t="s">
        <v>53</v>
      </c>
      <c r="F27" s="5" t="n">
        <f aca="false">SUMIFS(Dettaglio!$H$5:$H$100,Dettaglio!$A$5:$A$100,A27)</f>
        <v>3284</v>
      </c>
      <c r="G27" s="6" t="n">
        <f aca="false">IF($F$29=0,"",F27/$F$29)</f>
        <v>0.00121019800099612</v>
      </c>
      <c r="H27" s="5" t="n">
        <f aca="false">SUMIFS(Dettaglio!$I$5:$I$100,Dettaglio!$A$5:$A$100,A27)</f>
        <v>1631.46</v>
      </c>
      <c r="I27" s="6" t="n">
        <f aca="false">IF($H$29=0,"",H27/$H$29)</f>
        <v>0.000727393182467649</v>
      </c>
      <c r="J27" s="5" t="n">
        <f aca="false">F27-H27</f>
        <v>1652.54</v>
      </c>
      <c r="K27" s="6" t="n">
        <f aca="false">IF($J$29=0,"",J27/$J$29)</f>
        <v>0.00351066809381519</v>
      </c>
      <c r="L27" s="6" t="n">
        <f aca="false">IF(F27=0,"",J27/F27)</f>
        <v>0.503209500609013</v>
      </c>
      <c r="M27" s="16" t="n">
        <v>3284</v>
      </c>
      <c r="N27" s="5" t="n">
        <f aca="false">F27-M27</f>
        <v>0</v>
      </c>
      <c r="O27" s="11" t="n">
        <f aca="false">COUNTIF(Dettaglio!$A$5:$A$100,A27)-COUNTIFS(Dettaglio!$A$5:$A$100,A27,Dettaglio!$C$5:$C$100,"Base")</f>
        <v>0</v>
      </c>
      <c r="P27" s="4" t="s">
        <v>43</v>
      </c>
    </row>
    <row r="28" customFormat="false" ht="15" hidden="false" customHeight="false" outlineLevel="0" collapsed="false">
      <c r="A28" s="4" t="s">
        <v>110</v>
      </c>
      <c r="B28" s="15" t="s">
        <v>111</v>
      </c>
      <c r="C28" s="4" t="s">
        <v>51</v>
      </c>
      <c r="D28" s="4" t="s">
        <v>52</v>
      </c>
      <c r="E28" s="4" t="s">
        <v>42</v>
      </c>
      <c r="F28" s="5" t="n">
        <f aca="false">SUMIFS(Dettaglio!$H$5:$H$100,Dettaglio!$A$5:$A$100,A28)</f>
        <v>183669.52</v>
      </c>
      <c r="G28" s="6" t="n">
        <f aca="false">IF($F$29=0,"",F28/$F$29)</f>
        <v>0.0676846790340795</v>
      </c>
      <c r="H28" s="5" t="n">
        <f aca="false">SUMIFS(Dettaglio!$I$5:$I$100,Dettaglio!$A$5:$A$100,A28)</f>
        <v>93478.17</v>
      </c>
      <c r="I28" s="6" t="n">
        <f aca="false">IF($H$29=0,"",H28/$H$29)</f>
        <v>0.0416776283620511</v>
      </c>
      <c r="J28" s="5" t="n">
        <f aca="false">F28-H28</f>
        <v>90191.35</v>
      </c>
      <c r="K28" s="6" t="n">
        <f aca="false">IF($J$29=0,"",J28/$J$29)</f>
        <v>0.191603165298945</v>
      </c>
      <c r="L28" s="6" t="n">
        <f aca="false">IF(F28=0,"",J28/F28)</f>
        <v>0.491052353161265</v>
      </c>
      <c r="M28" s="16" t="n">
        <v>183669.52</v>
      </c>
      <c r="N28" s="5" t="n">
        <f aca="false">F28-M28</f>
        <v>0</v>
      </c>
      <c r="O28" s="11" t="n">
        <f aca="false">COUNTIF(Dettaglio!$A$5:$A$100,A28)-COUNTIFS(Dettaglio!$A$5:$A$100,A28,Dettaglio!$C$5:$C$100,"Base")</f>
        <v>8</v>
      </c>
      <c r="P28" s="4" t="s">
        <v>43</v>
      </c>
    </row>
    <row r="29" customFormat="false" ht="15" hidden="false" customHeight="false" outlineLevel="0" collapsed="false">
      <c r="A29" s="17" t="s">
        <v>112</v>
      </c>
      <c r="B29" s="18"/>
      <c r="C29" s="18"/>
      <c r="D29" s="18"/>
      <c r="E29" s="18"/>
      <c r="F29" s="19" t="n">
        <f aca="false">SUM(F5:F28)</f>
        <v>2713605.54</v>
      </c>
      <c r="G29" s="20" t="n">
        <f aca="false">IF(F29=0,"",F29/F29)</f>
        <v>1</v>
      </c>
      <c r="H29" s="19" t="n">
        <f aca="false">SUM(H5:H28)</f>
        <v>2242886.02</v>
      </c>
      <c r="I29" s="20" t="n">
        <f aca="false">IF(F29=0,"",H29/F29)</f>
        <v>0.826533549898339</v>
      </c>
      <c r="J29" s="19" t="n">
        <f aca="false">SUM(J5:J28)</f>
        <v>470719.52</v>
      </c>
      <c r="K29" s="20" t="n">
        <f aca="false">IF(F29=0,"",J29/F29)</f>
        <v>0.173466450101661</v>
      </c>
      <c r="L29" s="20" t="n">
        <f aca="false">IF(F29=0,"",J29/F29)</f>
        <v>0.173466450101661</v>
      </c>
      <c r="M29" s="19" t="n">
        <f aca="false">SUM(M5:M28)</f>
        <v>2713605.54</v>
      </c>
      <c r="N29" s="19" t="n">
        <f aca="false">SUM(N5:N28)</f>
        <v>0</v>
      </c>
      <c r="O29" s="21" t="n">
        <f aca="false">SUM(O5:O28)</f>
        <v>73</v>
      </c>
      <c r="P29" s="18"/>
    </row>
    <row r="30" customFormat="false" ht="15" hidden="false" customHeight="false" outlineLevel="0" collapsed="false">
      <c r="A30" s="2" t="s">
        <v>113</v>
      </c>
    </row>
  </sheetData>
  <autoFilter ref="A4:P28"/>
  <conditionalFormatting sqref="J5:J28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114</v>
      </c>
    </row>
    <row r="3" customFormat="false" ht="30" hidden="false" customHeight="true" outlineLevel="0" collapsed="false">
      <c r="A3" s="3" t="s">
        <v>24</v>
      </c>
      <c r="B3" s="3" t="s">
        <v>25</v>
      </c>
      <c r="C3" s="3" t="s">
        <v>115</v>
      </c>
      <c r="D3" s="3" t="s">
        <v>27</v>
      </c>
      <c r="E3" s="3" t="s">
        <v>28</v>
      </c>
      <c r="F3" s="3" t="s">
        <v>29</v>
      </c>
      <c r="G3" s="3" t="s">
        <v>31</v>
      </c>
      <c r="H3" s="3" t="s">
        <v>33</v>
      </c>
    </row>
    <row r="4" customFormat="false" ht="15" hidden="false" customHeight="false" outlineLevel="0" collapsed="false">
      <c r="A4" s="4" t="s">
        <v>51</v>
      </c>
      <c r="B4" s="4" t="s">
        <v>52</v>
      </c>
      <c r="C4" s="11" t="n">
        <f aca="false">COUNTIF(Commesse!$C$5:$C$28,A4)</f>
        <v>5</v>
      </c>
      <c r="D4" s="5" t="n">
        <f aca="false">SUMIFS(Commesse!$F$5:$F$28,Commesse!$C$5:$C$28,A4)</f>
        <v>1427501.44</v>
      </c>
      <c r="E4" s="6" t="n">
        <f aca="false">IF($D$13=0,"",D4/$D$13)</f>
        <v>0.526053407158065</v>
      </c>
      <c r="F4" s="5" t="n">
        <f aca="false">SUMIFS(Commesse!$H$5:$H$28,Commesse!$C$5:$C$28,A4)</f>
        <v>1222931.95</v>
      </c>
      <c r="G4" s="5" t="n">
        <f aca="false">D4-F4</f>
        <v>204569.49</v>
      </c>
      <c r="H4" s="6" t="n">
        <f aca="false">IF(D4=0,"",G4/D4)</f>
        <v>0.143305978031097</v>
      </c>
    </row>
    <row r="5" customFormat="false" ht="15" hidden="false" customHeight="false" outlineLevel="0" collapsed="false">
      <c r="A5" s="4" t="s">
        <v>77</v>
      </c>
      <c r="B5" s="4" t="s">
        <v>78</v>
      </c>
      <c r="C5" s="11" t="n">
        <f aca="false">COUNTIF(Commesse!$C$5:$C$28,A5)</f>
        <v>1</v>
      </c>
      <c r="D5" s="5" t="n">
        <f aca="false">SUMIFS(Commesse!$F$5:$F$28,Commesse!$C$5:$C$28,A5)</f>
        <v>625699.99</v>
      </c>
      <c r="E5" s="6" t="n">
        <f aca="false">IF($D$13=0,"",D5/$D$13)</f>
        <v>0.23057882981769</v>
      </c>
      <c r="F5" s="5" t="n">
        <f aca="false">SUMIFS(Commesse!$H$5:$H$28,Commesse!$C$5:$C$28,A5)</f>
        <v>521722.95</v>
      </c>
      <c r="G5" s="5" t="n">
        <f aca="false">D5-F5</f>
        <v>103977.04</v>
      </c>
      <c r="H5" s="6" t="n">
        <f aca="false">IF(D5=0,"",G5/D5)</f>
        <v>0.166177148252791</v>
      </c>
    </row>
    <row r="6" customFormat="false" ht="15" hidden="false" customHeight="false" outlineLevel="0" collapsed="false">
      <c r="A6" s="4" t="s">
        <v>40</v>
      </c>
      <c r="B6" s="4" t="s">
        <v>41</v>
      </c>
      <c r="C6" s="11" t="n">
        <f aca="false">COUNTIF(Commesse!$C$5:$C$28,A6)</f>
        <v>4</v>
      </c>
      <c r="D6" s="5" t="n">
        <f aca="false">SUMIFS(Commesse!$F$5:$F$28,Commesse!$C$5:$C$28,A6)</f>
        <v>397476.12</v>
      </c>
      <c r="E6" s="6" t="n">
        <f aca="false">IF($D$13=0,"",D6/$D$13)</f>
        <v>0.146475275842782</v>
      </c>
      <c r="F6" s="5" t="n">
        <f aca="false">SUMIFS(Commesse!$H$5:$H$28,Commesse!$C$5:$C$28,A6)</f>
        <v>283266.05</v>
      </c>
      <c r="G6" s="5" t="n">
        <f aca="false">D6-F6</f>
        <v>114210.07</v>
      </c>
      <c r="H6" s="6" t="n">
        <f aca="false">IF(D6=0,"",G6/D6)</f>
        <v>0.287338192795079</v>
      </c>
    </row>
    <row r="7" customFormat="false" ht="15" hidden="false" customHeight="false" outlineLevel="0" collapsed="false">
      <c r="A7" s="4" t="s">
        <v>98</v>
      </c>
      <c r="B7" s="4" t="s">
        <v>99</v>
      </c>
      <c r="C7" s="11" t="n">
        <f aca="false">COUNTIF(Commesse!$C$5:$C$28,A7)</f>
        <v>1</v>
      </c>
      <c r="D7" s="5" t="n">
        <f aca="false">SUMIFS(Commesse!$F$5:$F$28,Commesse!$C$5:$C$28,A7)</f>
        <v>147814.35</v>
      </c>
      <c r="E7" s="6" t="n">
        <f aca="false">IF($D$13=0,"",D7/$D$13)</f>
        <v>0.0544715684800673</v>
      </c>
      <c r="F7" s="5" t="n">
        <f aca="false">SUMIFS(Commesse!$H$5:$H$28,Commesse!$C$5:$C$28,A7)</f>
        <v>128804.49</v>
      </c>
      <c r="G7" s="5" t="n">
        <f aca="false">D7-F7</f>
        <v>19009.86</v>
      </c>
      <c r="H7" s="6" t="n">
        <f aca="false">IF(D7=0,"",G7/D7)</f>
        <v>0.128606322728477</v>
      </c>
    </row>
    <row r="8" customFormat="false" ht="15" hidden="false" customHeight="false" outlineLevel="0" collapsed="false">
      <c r="A8" s="4" t="s">
        <v>56</v>
      </c>
      <c r="B8" s="4" t="s">
        <v>57</v>
      </c>
      <c r="C8" s="11" t="n">
        <f aca="false">COUNTIF(Commesse!$C$5:$C$28,A8)</f>
        <v>6</v>
      </c>
      <c r="D8" s="5" t="n">
        <f aca="false">SUMIFS(Commesse!$F$5:$F$28,Commesse!$C$5:$C$28,A8)</f>
        <v>79848.58</v>
      </c>
      <c r="E8" s="6" t="n">
        <f aca="false">IF($D$13=0,"",D8/$D$13)</f>
        <v>0.0294252715890313</v>
      </c>
      <c r="F8" s="5" t="n">
        <f aca="false">SUMIFS(Commesse!$H$5:$H$28,Commesse!$C$5:$C$28,A8)</f>
        <v>67019.16</v>
      </c>
      <c r="G8" s="5" t="n">
        <f aca="false">D8-F8</f>
        <v>12829.42</v>
      </c>
      <c r="H8" s="6" t="n">
        <f aca="false">IF(D8=0,"",G8/D8)</f>
        <v>0.160671861666169</v>
      </c>
    </row>
    <row r="9" customFormat="false" ht="15" hidden="false" customHeight="false" outlineLevel="0" collapsed="false">
      <c r="A9" s="4" t="s">
        <v>87</v>
      </c>
      <c r="B9" s="4" t="s">
        <v>88</v>
      </c>
      <c r="C9" s="11" t="n">
        <f aca="false">COUNTIF(Commesse!$C$5:$C$28,A9)</f>
        <v>4</v>
      </c>
      <c r="D9" s="5" t="n">
        <f aca="false">SUMIFS(Commesse!$F$5:$F$28,Commesse!$C$5:$C$28,A9)</f>
        <v>27232.28</v>
      </c>
      <c r="E9" s="6" t="n">
        <f aca="false">IF($D$13=0,"",D9/$D$13)</f>
        <v>0.0100354600543747</v>
      </c>
      <c r="F9" s="5" t="n">
        <f aca="false">SUMIFS(Commesse!$H$5:$H$28,Commesse!$C$5:$C$28,A9)</f>
        <v>13327.39</v>
      </c>
      <c r="G9" s="5" t="n">
        <f aca="false">D9-F9</f>
        <v>13904.89</v>
      </c>
      <c r="H9" s="6" t="n">
        <f aca="false">IF(D9=0,"",G9/D9)</f>
        <v>0.510603225289987</v>
      </c>
    </row>
    <row r="10" customFormat="false" ht="15" hidden="false" customHeight="false" outlineLevel="0" collapsed="false">
      <c r="A10" s="4" t="s">
        <v>102</v>
      </c>
      <c r="B10" s="4" t="s">
        <v>103</v>
      </c>
      <c r="C10" s="11" t="n">
        <f aca="false">COUNTIF(Commesse!$C$5:$C$28,A10)</f>
        <v>1</v>
      </c>
      <c r="D10" s="5" t="n">
        <f aca="false">SUMIFS(Commesse!$F$5:$F$28,Commesse!$C$5:$C$28,A10)</f>
        <v>5278</v>
      </c>
      <c r="E10" s="6" t="n">
        <f aca="false">IF($D$13=0,"",D10/$D$13)</f>
        <v>0.00194501371780071</v>
      </c>
      <c r="F10" s="5" t="n">
        <f aca="false">SUMIFS(Commesse!$H$5:$H$28,Commesse!$C$5:$C$28,A10)</f>
        <v>3964.27</v>
      </c>
      <c r="G10" s="5" t="n">
        <f aca="false">D10-F10</f>
        <v>1313.73</v>
      </c>
      <c r="H10" s="6" t="n">
        <f aca="false">IF(D10=0,"",G10/D10)</f>
        <v>0.2489067828723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11" t="n">
        <f aca="false">COUNTIF(Commesse!$C$5:$C$28,A11)</f>
        <v>1</v>
      </c>
      <c r="D11" s="5" t="n">
        <f aca="false">SUMIFS(Commesse!$F$5:$F$28,Commesse!$C$5:$C$28,A11)</f>
        <v>2754.78</v>
      </c>
      <c r="E11" s="6" t="n">
        <f aca="false">IF($D$13=0,"",D11/$D$13)</f>
        <v>0.00101517334019004</v>
      </c>
      <c r="F11" s="5" t="n">
        <f aca="false">SUMIFS(Commesse!$H$5:$H$28,Commesse!$C$5:$C$28,A11)</f>
        <v>1465.57</v>
      </c>
      <c r="G11" s="5" t="n">
        <f aca="false">D11-F11</f>
        <v>1289.21</v>
      </c>
      <c r="H11" s="6" t="n">
        <f aca="false">IF(D11=0,"",G11/D11)</f>
        <v>0.467990184334139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11" t="n">
        <f aca="false">COUNTIF(Commesse!$C$5:$C$28,A12)</f>
        <v>1</v>
      </c>
      <c r="D12" s="5" t="n">
        <f aca="false">SUMIFS(Commesse!$F$5:$F$28,Commesse!$C$5:$C$28,A12)</f>
        <v>0</v>
      </c>
      <c r="E12" s="6" t="n">
        <f aca="false">IF($D$13=0,"",D12/$D$13)</f>
        <v>0</v>
      </c>
      <c r="F12" s="5" t="n">
        <f aca="false">SUMIFS(Commesse!$H$5:$H$28,Commesse!$C$5:$C$28,A12)</f>
        <v>384.19</v>
      </c>
      <c r="G12" s="5" t="n">
        <f aca="false">D12-F12</f>
        <v>-384.19</v>
      </c>
      <c r="H12" s="6" t="str">
        <f aca="false">IF(D12=0,"",G12/D12)</f>
        <v/>
      </c>
    </row>
    <row r="13" customFormat="false" ht="15" hidden="false" customHeight="false" outlineLevel="0" collapsed="false">
      <c r="A13" s="17" t="s">
        <v>112</v>
      </c>
      <c r="B13" s="18"/>
      <c r="C13" s="21" t="n">
        <f aca="false">SUM(C4:C12)</f>
        <v>24</v>
      </c>
      <c r="D13" s="19" t="n">
        <f aca="false">SUM(D4:D12)</f>
        <v>2713605.54</v>
      </c>
      <c r="E13" s="20" t="n">
        <f aca="false">IF(D13=0,"",D13/D13)</f>
        <v>1</v>
      </c>
      <c r="F13" s="19" t="n">
        <f aca="false">SUM(F4:F12)</f>
        <v>2242886.02</v>
      </c>
      <c r="G13" s="19" t="n">
        <f aca="false">SUM(G4:G12)</f>
        <v>470719.52</v>
      </c>
      <c r="H13" s="20" t="n">
        <f aca="false">IF(D13=0,"",G13/D13)</f>
        <v>0.173466450101661</v>
      </c>
    </row>
  </sheetData>
  <conditionalFormatting sqref="G4:G12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10" min="8" style="0" width="15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30" hidden="false" customHeight="true" outlineLevel="0" collapsed="false">
      <c r="A4" s="3" t="s">
        <v>118</v>
      </c>
      <c r="B4" s="3" t="s">
        <v>119</v>
      </c>
      <c r="C4" s="3" t="s">
        <v>120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29</v>
      </c>
      <c r="J4" s="3" t="s">
        <v>31</v>
      </c>
      <c r="K4" s="3" t="s">
        <v>33</v>
      </c>
    </row>
    <row r="5" customFormat="false" ht="15" hidden="false" customHeight="false" outlineLevel="0" collapsed="false">
      <c r="A5" s="4" t="s">
        <v>38</v>
      </c>
      <c r="B5" s="4" t="s">
        <v>38</v>
      </c>
      <c r="C5" s="4" t="s">
        <v>121</v>
      </c>
      <c r="D5" s="4" t="s">
        <v>39</v>
      </c>
      <c r="E5" s="4" t="s">
        <v>40</v>
      </c>
      <c r="F5" s="4" t="s">
        <v>41</v>
      </c>
      <c r="G5" s="4" t="s">
        <v>42</v>
      </c>
      <c r="H5" s="16" t="n">
        <v>345280.73</v>
      </c>
      <c r="I5" s="16" t="n">
        <v>249926.02</v>
      </c>
      <c r="J5" s="5" t="n">
        <f aca="false">H5-I5</f>
        <v>95354.71</v>
      </c>
      <c r="K5" s="6" t="n">
        <f aca="false">IF(H5=0,"",J5/H5)</f>
        <v>0.27616574489981</v>
      </c>
    </row>
    <row r="6" customFormat="false" ht="15" hidden="false" customHeight="false" outlineLevel="0" collapsed="false">
      <c r="A6" s="4" t="s">
        <v>38</v>
      </c>
      <c r="B6" s="4" t="s">
        <v>122</v>
      </c>
      <c r="C6" s="4" t="s">
        <v>123</v>
      </c>
      <c r="D6" s="4" t="s">
        <v>124</v>
      </c>
      <c r="E6" s="4" t="s">
        <v>40</v>
      </c>
      <c r="F6" s="4" t="s">
        <v>41</v>
      </c>
      <c r="G6" s="4" t="s">
        <v>42</v>
      </c>
      <c r="H6" s="16" t="n">
        <v>0</v>
      </c>
      <c r="I6" s="16" t="n">
        <v>1525.68</v>
      </c>
      <c r="J6" s="5" t="n">
        <f aca="false">H6-I6</f>
        <v>-1525.68</v>
      </c>
      <c r="K6" s="6" t="str">
        <f aca="false">IF(H6=0,"",J6/H6)</f>
        <v/>
      </c>
    </row>
    <row r="7" customFormat="false" ht="15" hidden="false" customHeight="false" outlineLevel="0" collapsed="false">
      <c r="A7" s="4" t="s">
        <v>38</v>
      </c>
      <c r="B7" s="4" t="s">
        <v>125</v>
      </c>
      <c r="C7" s="4" t="s">
        <v>123</v>
      </c>
      <c r="D7" s="4" t="s">
        <v>126</v>
      </c>
      <c r="E7" s="4" t="s">
        <v>40</v>
      </c>
      <c r="F7" s="4" t="s">
        <v>41</v>
      </c>
      <c r="G7" s="4" t="s">
        <v>42</v>
      </c>
      <c r="H7" s="16" t="n">
        <v>0</v>
      </c>
      <c r="I7" s="16" t="n">
        <v>2810.76</v>
      </c>
      <c r="J7" s="5" t="n">
        <f aca="false">H7-I7</f>
        <v>-2810.76</v>
      </c>
      <c r="K7" s="6" t="str">
        <f aca="false">IF(H7=0,"",J7/H7)</f>
        <v/>
      </c>
    </row>
    <row r="8" customFormat="false" ht="15" hidden="false" customHeight="false" outlineLevel="0" collapsed="false">
      <c r="A8" s="4" t="s">
        <v>38</v>
      </c>
      <c r="B8" s="4" t="s">
        <v>127</v>
      </c>
      <c r="C8" s="4" t="s">
        <v>123</v>
      </c>
      <c r="D8" s="4" t="s">
        <v>128</v>
      </c>
      <c r="E8" s="4" t="s">
        <v>40</v>
      </c>
      <c r="F8" s="4" t="s">
        <v>41</v>
      </c>
      <c r="G8" s="4" t="s">
        <v>42</v>
      </c>
      <c r="H8" s="16" t="n">
        <v>0</v>
      </c>
      <c r="I8" s="16" t="n">
        <v>669.76</v>
      </c>
      <c r="J8" s="5" t="n">
        <f aca="false">H8-I8</f>
        <v>-669.76</v>
      </c>
      <c r="K8" s="6" t="str">
        <f aca="false">IF(H8=0,"",J8/H8)</f>
        <v/>
      </c>
    </row>
    <row r="9" customFormat="false" ht="15" hidden="false" customHeight="false" outlineLevel="0" collapsed="false">
      <c r="A9" s="4" t="s">
        <v>44</v>
      </c>
      <c r="B9" s="4" t="s">
        <v>129</v>
      </c>
      <c r="C9" s="4" t="s">
        <v>130</v>
      </c>
      <c r="D9" s="4" t="s">
        <v>131</v>
      </c>
      <c r="E9" s="4" t="s">
        <v>46</v>
      </c>
      <c r="F9" s="4" t="s">
        <v>47</v>
      </c>
      <c r="G9" s="4" t="s">
        <v>48</v>
      </c>
      <c r="H9" s="16" t="n">
        <v>0</v>
      </c>
      <c r="I9" s="16" t="n">
        <v>384.19</v>
      </c>
      <c r="J9" s="5" t="n">
        <f aca="false">H9-I9</f>
        <v>-384.19</v>
      </c>
      <c r="K9" s="6" t="str">
        <f aca="false">IF(H9=0,"",J9/H9)</f>
        <v/>
      </c>
    </row>
    <row r="10" customFormat="false" ht="15" hidden="false" customHeight="false" outlineLevel="0" collapsed="false">
      <c r="A10" s="4" t="s">
        <v>49</v>
      </c>
      <c r="B10" s="4" t="s">
        <v>49</v>
      </c>
      <c r="C10" s="4" t="s">
        <v>121</v>
      </c>
      <c r="D10" s="4" t="s">
        <v>50</v>
      </c>
      <c r="E10" s="4" t="s">
        <v>51</v>
      </c>
      <c r="F10" s="4" t="s">
        <v>52</v>
      </c>
      <c r="G10" s="4" t="s">
        <v>53</v>
      </c>
      <c r="H10" s="16" t="n">
        <v>2732</v>
      </c>
      <c r="I10" s="16" t="n">
        <v>54700.89</v>
      </c>
      <c r="J10" s="5" t="n">
        <f aca="false">H10-I10</f>
        <v>-51968.89</v>
      </c>
      <c r="K10" s="6" t="n">
        <f aca="false">IF(H10=0,"",J10/H10)</f>
        <v>-19.0222877013177</v>
      </c>
    </row>
    <row r="11" customFormat="false" ht="15" hidden="false" customHeight="false" outlineLevel="0" collapsed="false">
      <c r="A11" s="4" t="s">
        <v>49</v>
      </c>
      <c r="B11" s="4" t="s">
        <v>132</v>
      </c>
      <c r="C11" s="4" t="s">
        <v>123</v>
      </c>
      <c r="D11" s="4" t="s">
        <v>133</v>
      </c>
      <c r="E11" s="4" t="s">
        <v>51</v>
      </c>
      <c r="F11" s="4" t="s">
        <v>52</v>
      </c>
      <c r="G11" s="4" t="s">
        <v>42</v>
      </c>
      <c r="H11" s="16" t="n">
        <v>0</v>
      </c>
      <c r="I11" s="16" t="n">
        <v>115</v>
      </c>
      <c r="J11" s="5" t="n">
        <f aca="false">H11-I11</f>
        <v>-115</v>
      </c>
      <c r="K11" s="6" t="str">
        <f aca="false">IF(H11=0,"",J11/H11)</f>
        <v/>
      </c>
    </row>
    <row r="12" customFormat="false" ht="15" hidden="false" customHeight="false" outlineLevel="0" collapsed="false">
      <c r="A12" s="4" t="s">
        <v>49</v>
      </c>
      <c r="B12" s="4" t="s">
        <v>134</v>
      </c>
      <c r="C12" s="4" t="s">
        <v>123</v>
      </c>
      <c r="D12" s="4" t="s">
        <v>135</v>
      </c>
      <c r="E12" s="4" t="s">
        <v>51</v>
      </c>
      <c r="F12" s="4" t="s">
        <v>52</v>
      </c>
      <c r="G12" s="4" t="s">
        <v>42</v>
      </c>
      <c r="H12" s="16" t="n">
        <v>0</v>
      </c>
      <c r="I12" s="16" t="n">
        <v>2772.81</v>
      </c>
      <c r="J12" s="5" t="n">
        <f aca="false">H12-I12</f>
        <v>-2772.81</v>
      </c>
      <c r="K12" s="6" t="str">
        <f aca="false">IF(H12=0,"",J12/H12)</f>
        <v/>
      </c>
    </row>
    <row r="13" customFormat="false" ht="15" hidden="false" customHeight="false" outlineLevel="0" collapsed="false">
      <c r="A13" s="4" t="s">
        <v>49</v>
      </c>
      <c r="B13" s="4" t="s">
        <v>136</v>
      </c>
      <c r="C13" s="4" t="s">
        <v>130</v>
      </c>
      <c r="D13" s="4" t="s">
        <v>137</v>
      </c>
      <c r="E13" s="4" t="s">
        <v>51</v>
      </c>
      <c r="F13" s="4" t="s">
        <v>52</v>
      </c>
      <c r="G13" s="4" t="s">
        <v>42</v>
      </c>
      <c r="H13" s="16" t="n">
        <v>0</v>
      </c>
      <c r="I13" s="16" t="n">
        <v>350</v>
      </c>
      <c r="J13" s="5" t="n">
        <f aca="false">H13-I13</f>
        <v>-350</v>
      </c>
      <c r="K13" s="6" t="str">
        <f aca="false">IF(H13=0,"",J13/H13)</f>
        <v/>
      </c>
    </row>
    <row r="14" customFormat="false" ht="15" hidden="false" customHeight="false" outlineLevel="0" collapsed="false">
      <c r="A14" s="4" t="s">
        <v>49</v>
      </c>
      <c r="B14" s="4" t="s">
        <v>138</v>
      </c>
      <c r="C14" s="4" t="s">
        <v>130</v>
      </c>
      <c r="D14" s="4" t="s">
        <v>139</v>
      </c>
      <c r="E14" s="4" t="s">
        <v>51</v>
      </c>
      <c r="F14" s="4" t="s">
        <v>52</v>
      </c>
      <c r="G14" s="4" t="s">
        <v>48</v>
      </c>
      <c r="H14" s="16" t="n">
        <v>0</v>
      </c>
      <c r="I14" s="16" t="n">
        <v>152</v>
      </c>
      <c r="J14" s="5" t="n">
        <f aca="false">H14-I14</f>
        <v>-152</v>
      </c>
      <c r="K14" s="6" t="str">
        <f aca="false">IF(H14=0,"",J14/H14)</f>
        <v/>
      </c>
    </row>
    <row r="15" customFormat="false" ht="15" hidden="false" customHeight="false" outlineLevel="0" collapsed="false">
      <c r="A15" s="4" t="s">
        <v>49</v>
      </c>
      <c r="B15" s="4" t="s">
        <v>140</v>
      </c>
      <c r="C15" s="4" t="s">
        <v>130</v>
      </c>
      <c r="D15" s="4" t="s">
        <v>141</v>
      </c>
      <c r="E15" s="4" t="s">
        <v>51</v>
      </c>
      <c r="F15" s="4" t="s">
        <v>52</v>
      </c>
      <c r="G15" s="4" t="s">
        <v>42</v>
      </c>
      <c r="H15" s="16" t="n">
        <v>0</v>
      </c>
      <c r="I15" s="16" t="n">
        <v>4141.99</v>
      </c>
      <c r="J15" s="5" t="n">
        <f aca="false">H15-I15</f>
        <v>-4141.99</v>
      </c>
      <c r="K15" s="6" t="str">
        <f aca="false">IF(H15=0,"",J15/H15)</f>
        <v/>
      </c>
    </row>
    <row r="16" customFormat="false" ht="15" hidden="false" customHeight="false" outlineLevel="0" collapsed="false">
      <c r="A16" s="4" t="s">
        <v>49</v>
      </c>
      <c r="B16" s="4" t="s">
        <v>142</v>
      </c>
      <c r="C16" s="4" t="s">
        <v>130</v>
      </c>
      <c r="D16" s="4" t="s">
        <v>143</v>
      </c>
      <c r="E16" s="4" t="s">
        <v>51</v>
      </c>
      <c r="F16" s="4" t="s">
        <v>52</v>
      </c>
      <c r="G16" s="4" t="s">
        <v>42</v>
      </c>
      <c r="H16" s="16" t="n">
        <v>0</v>
      </c>
      <c r="I16" s="16" t="n">
        <v>117</v>
      </c>
      <c r="J16" s="5" t="n">
        <f aca="false">H16-I16</f>
        <v>-117</v>
      </c>
      <c r="K16" s="6" t="str">
        <f aca="false">IF(H16=0,"",J16/H16)</f>
        <v/>
      </c>
    </row>
    <row r="17" customFormat="false" ht="15" hidden="false" customHeight="false" outlineLevel="0" collapsed="false">
      <c r="A17" s="4" t="s">
        <v>54</v>
      </c>
      <c r="B17" s="4" t="s">
        <v>54</v>
      </c>
      <c r="C17" s="4" t="s">
        <v>121</v>
      </c>
      <c r="D17" s="4" t="s">
        <v>55</v>
      </c>
      <c r="E17" s="4" t="s">
        <v>56</v>
      </c>
      <c r="F17" s="4" t="s">
        <v>57</v>
      </c>
      <c r="G17" s="4" t="s">
        <v>53</v>
      </c>
      <c r="H17" s="16" t="n">
        <v>0</v>
      </c>
      <c r="I17" s="16" t="n">
        <v>1881.96</v>
      </c>
      <c r="J17" s="5" t="n">
        <f aca="false">H17-I17</f>
        <v>-1881.96</v>
      </c>
      <c r="K17" s="6" t="str">
        <f aca="false">IF(H17=0,"",J17/H17)</f>
        <v/>
      </c>
    </row>
    <row r="18" customFormat="false" ht="15" hidden="false" customHeight="false" outlineLevel="0" collapsed="false">
      <c r="A18" s="4" t="s">
        <v>59</v>
      </c>
      <c r="B18" s="4" t="s">
        <v>59</v>
      </c>
      <c r="C18" s="4" t="s">
        <v>121</v>
      </c>
      <c r="D18" s="4" t="s">
        <v>60</v>
      </c>
      <c r="E18" s="4" t="s">
        <v>56</v>
      </c>
      <c r="F18" s="4" t="s">
        <v>57</v>
      </c>
      <c r="G18" s="4" t="s">
        <v>42</v>
      </c>
      <c r="H18" s="16" t="n">
        <v>0</v>
      </c>
      <c r="I18" s="16" t="n">
        <v>17054.2</v>
      </c>
      <c r="J18" s="5" t="n">
        <f aca="false">H18-I18</f>
        <v>-17054.2</v>
      </c>
      <c r="K18" s="6" t="str">
        <f aca="false">IF(H18=0,"",J18/H18)</f>
        <v/>
      </c>
    </row>
    <row r="19" customFormat="false" ht="15" hidden="false" customHeight="false" outlineLevel="0" collapsed="false">
      <c r="A19" s="4" t="s">
        <v>61</v>
      </c>
      <c r="B19" s="4" t="s">
        <v>61</v>
      </c>
      <c r="C19" s="4" t="s">
        <v>121</v>
      </c>
      <c r="D19" s="4" t="s">
        <v>62</v>
      </c>
      <c r="E19" s="4" t="s">
        <v>51</v>
      </c>
      <c r="F19" s="4" t="s">
        <v>52</v>
      </c>
      <c r="G19" s="4" t="s">
        <v>53</v>
      </c>
      <c r="H19" s="16" t="n">
        <v>866.04</v>
      </c>
      <c r="I19" s="16" t="n">
        <v>0</v>
      </c>
      <c r="J19" s="5" t="n">
        <f aca="false">H19-I19</f>
        <v>866.04</v>
      </c>
      <c r="K19" s="6" t="n">
        <f aca="false">IF(H19=0,"",J19/H19)</f>
        <v>1</v>
      </c>
    </row>
    <row r="20" customFormat="false" ht="15" hidden="false" customHeight="false" outlineLevel="0" collapsed="false">
      <c r="A20" s="4" t="s">
        <v>63</v>
      </c>
      <c r="B20" s="4" t="s">
        <v>63</v>
      </c>
      <c r="C20" s="4" t="s">
        <v>121</v>
      </c>
      <c r="D20" s="4" t="s">
        <v>64</v>
      </c>
      <c r="E20" s="4" t="s">
        <v>51</v>
      </c>
      <c r="F20" s="4" t="s">
        <v>52</v>
      </c>
      <c r="G20" s="4" t="s">
        <v>53</v>
      </c>
      <c r="H20" s="16" t="n">
        <v>582387.61</v>
      </c>
      <c r="I20" s="16" t="n">
        <v>176899.91</v>
      </c>
      <c r="J20" s="5" t="n">
        <f aca="false">H20-I20</f>
        <v>405487.7</v>
      </c>
      <c r="K20" s="6" t="n">
        <f aca="false">IF(H20=0,"",J20/H20)</f>
        <v>0.696250560687581</v>
      </c>
    </row>
    <row r="21" customFormat="false" ht="15" hidden="false" customHeight="false" outlineLevel="0" collapsed="false">
      <c r="A21" s="4" t="s">
        <v>63</v>
      </c>
      <c r="B21" s="4" t="s">
        <v>144</v>
      </c>
      <c r="C21" s="4" t="s">
        <v>123</v>
      </c>
      <c r="D21" s="4" t="s">
        <v>145</v>
      </c>
      <c r="E21" s="4" t="s">
        <v>51</v>
      </c>
      <c r="F21" s="4" t="s">
        <v>52</v>
      </c>
      <c r="G21" s="4" t="s">
        <v>42</v>
      </c>
      <c r="H21" s="16" t="n">
        <v>0</v>
      </c>
      <c r="I21" s="16" t="n">
        <v>2037.32</v>
      </c>
      <c r="J21" s="5" t="n">
        <f aca="false">H21-I21</f>
        <v>-2037.32</v>
      </c>
      <c r="K21" s="6" t="str">
        <f aca="false">IF(H21=0,"",J21/H21)</f>
        <v/>
      </c>
    </row>
    <row r="22" customFormat="false" ht="15" hidden="false" customHeight="false" outlineLevel="0" collapsed="false">
      <c r="A22" s="4" t="s">
        <v>63</v>
      </c>
      <c r="B22" s="4" t="s">
        <v>146</v>
      </c>
      <c r="C22" s="4" t="s">
        <v>123</v>
      </c>
      <c r="D22" s="4" t="s">
        <v>147</v>
      </c>
      <c r="E22" s="4" t="s">
        <v>51</v>
      </c>
      <c r="F22" s="4" t="s">
        <v>52</v>
      </c>
      <c r="G22" s="4" t="s">
        <v>42</v>
      </c>
      <c r="H22" s="16" t="n">
        <v>0</v>
      </c>
      <c r="I22" s="16" t="n">
        <v>29518.98</v>
      </c>
      <c r="J22" s="5" t="n">
        <f aca="false">H22-I22</f>
        <v>-29518.98</v>
      </c>
      <c r="K22" s="6" t="str">
        <f aca="false">IF(H22=0,"",J22/H22)</f>
        <v/>
      </c>
    </row>
    <row r="23" customFormat="false" ht="15" hidden="false" customHeight="false" outlineLevel="0" collapsed="false">
      <c r="A23" s="4" t="s">
        <v>63</v>
      </c>
      <c r="B23" s="4" t="s">
        <v>148</v>
      </c>
      <c r="C23" s="4" t="s">
        <v>123</v>
      </c>
      <c r="D23" s="4" t="s">
        <v>149</v>
      </c>
      <c r="E23" s="4" t="s">
        <v>51</v>
      </c>
      <c r="F23" s="4" t="s">
        <v>52</v>
      </c>
      <c r="G23" s="4" t="s">
        <v>42</v>
      </c>
      <c r="H23" s="16" t="n">
        <v>0</v>
      </c>
      <c r="I23" s="16" t="n">
        <v>1130.36</v>
      </c>
      <c r="J23" s="5" t="n">
        <f aca="false">H23-I23</f>
        <v>-1130.36</v>
      </c>
      <c r="K23" s="6" t="str">
        <f aca="false">IF(H23=0,"",J23/H23)</f>
        <v/>
      </c>
    </row>
    <row r="24" customFormat="false" ht="15" hidden="false" customHeight="false" outlineLevel="0" collapsed="false">
      <c r="A24" s="4" t="s">
        <v>63</v>
      </c>
      <c r="B24" s="4" t="s">
        <v>150</v>
      </c>
      <c r="C24" s="4" t="s">
        <v>123</v>
      </c>
      <c r="D24" s="4" t="s">
        <v>151</v>
      </c>
      <c r="E24" s="4" t="s">
        <v>51</v>
      </c>
      <c r="F24" s="4" t="s">
        <v>52</v>
      </c>
      <c r="G24" s="4" t="s">
        <v>42</v>
      </c>
      <c r="H24" s="16" t="n">
        <v>0</v>
      </c>
      <c r="I24" s="16" t="n">
        <v>822.95</v>
      </c>
      <c r="J24" s="5" t="n">
        <f aca="false">H24-I24</f>
        <v>-822.95</v>
      </c>
      <c r="K24" s="6" t="str">
        <f aca="false">IF(H24=0,"",J24/H24)</f>
        <v/>
      </c>
    </row>
    <row r="25" customFormat="false" ht="15" hidden="false" customHeight="false" outlineLevel="0" collapsed="false">
      <c r="A25" s="4" t="s">
        <v>63</v>
      </c>
      <c r="B25" s="4" t="s">
        <v>152</v>
      </c>
      <c r="C25" s="4" t="s">
        <v>130</v>
      </c>
      <c r="D25" s="4" t="s">
        <v>153</v>
      </c>
      <c r="E25" s="4" t="s">
        <v>51</v>
      </c>
      <c r="F25" s="4" t="s">
        <v>52</v>
      </c>
      <c r="G25" s="4" t="s">
        <v>48</v>
      </c>
      <c r="H25" s="16" t="n">
        <v>0</v>
      </c>
      <c r="I25" s="16" t="n">
        <v>30528.59</v>
      </c>
      <c r="J25" s="5" t="n">
        <f aca="false">H25-I25</f>
        <v>-30528.59</v>
      </c>
      <c r="K25" s="6" t="str">
        <f aca="false">IF(H25=0,"",J25/H25)</f>
        <v/>
      </c>
    </row>
    <row r="26" customFormat="false" ht="15" hidden="false" customHeight="false" outlineLevel="0" collapsed="false">
      <c r="A26" s="4" t="s">
        <v>63</v>
      </c>
      <c r="B26" s="4" t="s">
        <v>154</v>
      </c>
      <c r="C26" s="4" t="s">
        <v>130</v>
      </c>
      <c r="D26" s="4" t="s">
        <v>155</v>
      </c>
      <c r="E26" s="4" t="s">
        <v>51</v>
      </c>
      <c r="F26" s="4" t="s">
        <v>52</v>
      </c>
      <c r="G26" s="4" t="s">
        <v>42</v>
      </c>
      <c r="H26" s="16" t="n">
        <v>0</v>
      </c>
      <c r="I26" s="16" t="n">
        <v>85984.5</v>
      </c>
      <c r="J26" s="5" t="n">
        <f aca="false">H26-I26</f>
        <v>-85984.5</v>
      </c>
      <c r="K26" s="6" t="str">
        <f aca="false">IF(H26=0,"",J26/H26)</f>
        <v/>
      </c>
    </row>
    <row r="27" customFormat="false" ht="15" hidden="false" customHeight="false" outlineLevel="0" collapsed="false">
      <c r="A27" s="4" t="s">
        <v>63</v>
      </c>
      <c r="B27" s="4" t="s">
        <v>156</v>
      </c>
      <c r="C27" s="4" t="s">
        <v>130</v>
      </c>
      <c r="D27" s="4" t="s">
        <v>157</v>
      </c>
      <c r="E27" s="4" t="s">
        <v>51</v>
      </c>
      <c r="F27" s="4" t="s">
        <v>52</v>
      </c>
      <c r="G27" s="4" t="s">
        <v>42</v>
      </c>
      <c r="H27" s="16" t="n">
        <v>0</v>
      </c>
      <c r="I27" s="16" t="n">
        <v>3589.82</v>
      </c>
      <c r="J27" s="5" t="n">
        <f aca="false">H27-I27</f>
        <v>-3589.82</v>
      </c>
      <c r="K27" s="6" t="str">
        <f aca="false">IF(H27=0,"",J27/H27)</f>
        <v/>
      </c>
    </row>
    <row r="28" customFormat="false" ht="15" hidden="false" customHeight="false" outlineLevel="0" collapsed="false">
      <c r="A28" s="4" t="s">
        <v>63</v>
      </c>
      <c r="B28" s="4" t="s">
        <v>158</v>
      </c>
      <c r="C28" s="4" t="s">
        <v>130</v>
      </c>
      <c r="D28" s="4" t="s">
        <v>159</v>
      </c>
      <c r="E28" s="4" t="s">
        <v>51</v>
      </c>
      <c r="F28" s="4" t="s">
        <v>52</v>
      </c>
      <c r="G28" s="4" t="s">
        <v>42</v>
      </c>
      <c r="H28" s="16" t="n">
        <v>0</v>
      </c>
      <c r="I28" s="16" t="n">
        <v>4066.03</v>
      </c>
      <c r="J28" s="5" t="n">
        <f aca="false">H28-I28</f>
        <v>-4066.03</v>
      </c>
      <c r="K28" s="6" t="str">
        <f aca="false">IF(H28=0,"",J28/H28)</f>
        <v/>
      </c>
    </row>
    <row r="29" customFormat="false" ht="15" hidden="false" customHeight="false" outlineLevel="0" collapsed="false">
      <c r="A29" s="4" t="s">
        <v>63</v>
      </c>
      <c r="B29" s="4" t="s">
        <v>160</v>
      </c>
      <c r="C29" s="4" t="s">
        <v>130</v>
      </c>
      <c r="D29" s="4" t="s">
        <v>161</v>
      </c>
      <c r="E29" s="4" t="s">
        <v>51</v>
      </c>
      <c r="F29" s="4" t="s">
        <v>52</v>
      </c>
      <c r="G29" s="4" t="s">
        <v>42</v>
      </c>
      <c r="H29" s="16" t="n">
        <v>0</v>
      </c>
      <c r="I29" s="16" t="n">
        <v>2910.7</v>
      </c>
      <c r="J29" s="5" t="n">
        <f aca="false">H29-I29</f>
        <v>-2910.7</v>
      </c>
      <c r="K29" s="6" t="str">
        <f aca="false">IF(H29=0,"",J29/H29)</f>
        <v/>
      </c>
    </row>
    <row r="30" customFormat="false" ht="15" hidden="false" customHeight="false" outlineLevel="0" collapsed="false">
      <c r="A30" s="4" t="s">
        <v>63</v>
      </c>
      <c r="B30" s="4" t="s">
        <v>162</v>
      </c>
      <c r="C30" s="4" t="s">
        <v>130</v>
      </c>
      <c r="D30" s="4" t="s">
        <v>163</v>
      </c>
      <c r="E30" s="4" t="s">
        <v>51</v>
      </c>
      <c r="F30" s="4" t="s">
        <v>52</v>
      </c>
      <c r="G30" s="4" t="s">
        <v>42</v>
      </c>
      <c r="H30" s="16" t="n">
        <v>0</v>
      </c>
      <c r="I30" s="16" t="n">
        <v>2752.99</v>
      </c>
      <c r="J30" s="5" t="n">
        <f aca="false">H30-I30</f>
        <v>-2752.99</v>
      </c>
      <c r="K30" s="6" t="str">
        <f aca="false">IF(H30=0,"",J30/H30)</f>
        <v/>
      </c>
    </row>
    <row r="31" customFormat="false" ht="15" hidden="false" customHeight="false" outlineLevel="0" collapsed="false">
      <c r="A31" s="4" t="s">
        <v>63</v>
      </c>
      <c r="B31" s="4" t="s">
        <v>164</v>
      </c>
      <c r="C31" s="4" t="s">
        <v>130</v>
      </c>
      <c r="D31" s="4" t="s">
        <v>165</v>
      </c>
      <c r="E31" s="4" t="s">
        <v>51</v>
      </c>
      <c r="F31" s="4" t="s">
        <v>52</v>
      </c>
      <c r="G31" s="4" t="s">
        <v>42</v>
      </c>
      <c r="H31" s="16" t="n">
        <v>0</v>
      </c>
      <c r="I31" s="16" t="n">
        <v>3823.74</v>
      </c>
      <c r="J31" s="5" t="n">
        <f aca="false">H31-I31</f>
        <v>-3823.74</v>
      </c>
      <c r="K31" s="6" t="str">
        <f aca="false">IF(H31=0,"",J31/H31)</f>
        <v/>
      </c>
    </row>
    <row r="32" customFormat="false" ht="15" hidden="false" customHeight="false" outlineLevel="0" collapsed="false">
      <c r="A32" s="4" t="s">
        <v>63</v>
      </c>
      <c r="B32" s="4" t="s">
        <v>166</v>
      </c>
      <c r="C32" s="4" t="s">
        <v>130</v>
      </c>
      <c r="D32" s="4" t="s">
        <v>167</v>
      </c>
      <c r="E32" s="4" t="s">
        <v>51</v>
      </c>
      <c r="F32" s="4" t="s">
        <v>52</v>
      </c>
      <c r="G32" s="4" t="s">
        <v>42</v>
      </c>
      <c r="H32" s="16" t="n">
        <v>0</v>
      </c>
      <c r="I32" s="16" t="n">
        <v>2432.15</v>
      </c>
      <c r="J32" s="5" t="n">
        <f aca="false">H32-I32</f>
        <v>-2432.15</v>
      </c>
      <c r="K32" s="6" t="str">
        <f aca="false">IF(H32=0,"",J32/H32)</f>
        <v/>
      </c>
    </row>
    <row r="33" customFormat="false" ht="15" hidden="false" customHeight="false" outlineLevel="0" collapsed="false">
      <c r="A33" s="4" t="s">
        <v>63</v>
      </c>
      <c r="B33" s="4" t="s">
        <v>168</v>
      </c>
      <c r="C33" s="4" t="s">
        <v>130</v>
      </c>
      <c r="D33" s="4" t="s">
        <v>169</v>
      </c>
      <c r="E33" s="4" t="s">
        <v>51</v>
      </c>
      <c r="F33" s="4" t="s">
        <v>52</v>
      </c>
      <c r="G33" s="4" t="s">
        <v>42</v>
      </c>
      <c r="H33" s="16" t="n">
        <v>0</v>
      </c>
      <c r="I33" s="16" t="n">
        <v>5685.26</v>
      </c>
      <c r="J33" s="5" t="n">
        <f aca="false">H33-I33</f>
        <v>-5685.26</v>
      </c>
      <c r="K33" s="6" t="str">
        <f aca="false">IF(H33=0,"",J33/H33)</f>
        <v/>
      </c>
    </row>
    <row r="34" customFormat="false" ht="15" hidden="false" customHeight="false" outlineLevel="0" collapsed="false">
      <c r="A34" s="4" t="s">
        <v>63</v>
      </c>
      <c r="B34" s="4" t="s">
        <v>170</v>
      </c>
      <c r="C34" s="4" t="s">
        <v>130</v>
      </c>
      <c r="D34" s="4" t="s">
        <v>171</v>
      </c>
      <c r="E34" s="4" t="s">
        <v>51</v>
      </c>
      <c r="F34" s="4" t="s">
        <v>52</v>
      </c>
      <c r="G34" s="4" t="s">
        <v>42</v>
      </c>
      <c r="H34" s="16" t="n">
        <v>0</v>
      </c>
      <c r="I34" s="16" t="n">
        <v>30238.46</v>
      </c>
      <c r="J34" s="5" t="n">
        <f aca="false">H34-I34</f>
        <v>-30238.46</v>
      </c>
      <c r="K34" s="6" t="str">
        <f aca="false">IF(H34=0,"",J34/H34)</f>
        <v/>
      </c>
    </row>
    <row r="35" customFormat="false" ht="15" hidden="false" customHeight="false" outlineLevel="0" collapsed="false">
      <c r="A35" s="4" t="s">
        <v>63</v>
      </c>
      <c r="B35" s="4" t="s">
        <v>172</v>
      </c>
      <c r="C35" s="4" t="s">
        <v>130</v>
      </c>
      <c r="D35" s="4" t="s">
        <v>173</v>
      </c>
      <c r="E35" s="4" t="s">
        <v>51</v>
      </c>
      <c r="F35" s="4" t="s">
        <v>52</v>
      </c>
      <c r="G35" s="4" t="s">
        <v>42</v>
      </c>
      <c r="H35" s="16" t="n">
        <v>0</v>
      </c>
      <c r="I35" s="16" t="n">
        <v>2036.9</v>
      </c>
      <c r="J35" s="5" t="n">
        <f aca="false">H35-I35</f>
        <v>-2036.9</v>
      </c>
      <c r="K35" s="6" t="str">
        <f aca="false">IF(H35=0,"",J35/H35)</f>
        <v/>
      </c>
    </row>
    <row r="36" customFormat="false" ht="15" hidden="false" customHeight="false" outlineLevel="0" collapsed="false">
      <c r="A36" s="4" t="s">
        <v>63</v>
      </c>
      <c r="B36" s="4" t="s">
        <v>174</v>
      </c>
      <c r="C36" s="4" t="s">
        <v>130</v>
      </c>
      <c r="D36" s="4" t="s">
        <v>175</v>
      </c>
      <c r="E36" s="4" t="s">
        <v>51</v>
      </c>
      <c r="F36" s="4" t="s">
        <v>52</v>
      </c>
      <c r="G36" s="4" t="s">
        <v>42</v>
      </c>
      <c r="H36" s="16" t="n">
        <v>0</v>
      </c>
      <c r="I36" s="16" t="n">
        <v>3393.83</v>
      </c>
      <c r="J36" s="5" t="n">
        <f aca="false">H36-I36</f>
        <v>-3393.83</v>
      </c>
      <c r="K36" s="6" t="str">
        <f aca="false">IF(H36=0,"",J36/H36)</f>
        <v/>
      </c>
    </row>
    <row r="37" customFormat="false" ht="15" hidden="false" customHeight="false" outlineLevel="0" collapsed="false">
      <c r="A37" s="4" t="s">
        <v>63</v>
      </c>
      <c r="B37" s="4" t="s">
        <v>176</v>
      </c>
      <c r="C37" s="4" t="s">
        <v>130</v>
      </c>
      <c r="D37" s="4" t="s">
        <v>177</v>
      </c>
      <c r="E37" s="4" t="s">
        <v>51</v>
      </c>
      <c r="F37" s="4" t="s">
        <v>52</v>
      </c>
      <c r="G37" s="4" t="s">
        <v>42</v>
      </c>
      <c r="H37" s="16" t="n">
        <v>0</v>
      </c>
      <c r="I37" s="16" t="n">
        <v>15271.15</v>
      </c>
      <c r="J37" s="5" t="n">
        <f aca="false">H37-I37</f>
        <v>-15271.15</v>
      </c>
      <c r="K37" s="6" t="str">
        <f aca="false">IF(H37=0,"",J37/H37)</f>
        <v/>
      </c>
    </row>
    <row r="38" customFormat="false" ht="15" hidden="false" customHeight="false" outlineLevel="0" collapsed="false">
      <c r="A38" s="4" t="s">
        <v>63</v>
      </c>
      <c r="B38" s="4" t="s">
        <v>178</v>
      </c>
      <c r="C38" s="4" t="s">
        <v>130</v>
      </c>
      <c r="D38" s="4" t="s">
        <v>179</v>
      </c>
      <c r="E38" s="4" t="s">
        <v>51</v>
      </c>
      <c r="F38" s="4" t="s">
        <v>52</v>
      </c>
      <c r="G38" s="4" t="s">
        <v>42</v>
      </c>
      <c r="H38" s="16" t="n">
        <v>0</v>
      </c>
      <c r="I38" s="16" t="n">
        <v>4699.22</v>
      </c>
      <c r="J38" s="5" t="n">
        <f aca="false">H38-I38</f>
        <v>-4699.22</v>
      </c>
      <c r="K38" s="6" t="str">
        <f aca="false">IF(H38=0,"",J38/H38)</f>
        <v/>
      </c>
    </row>
    <row r="39" customFormat="false" ht="15" hidden="false" customHeight="false" outlineLevel="0" collapsed="false">
      <c r="A39" s="4" t="s">
        <v>63</v>
      </c>
      <c r="B39" s="4" t="s">
        <v>180</v>
      </c>
      <c r="C39" s="4" t="s">
        <v>130</v>
      </c>
      <c r="D39" s="4" t="s">
        <v>181</v>
      </c>
      <c r="E39" s="4" t="s">
        <v>51</v>
      </c>
      <c r="F39" s="4" t="s">
        <v>52</v>
      </c>
      <c r="G39" s="4" t="s">
        <v>42</v>
      </c>
      <c r="H39" s="16" t="n">
        <v>0</v>
      </c>
      <c r="I39" s="16" t="n">
        <v>94192.26</v>
      </c>
      <c r="J39" s="5" t="n">
        <f aca="false">H39-I39</f>
        <v>-94192.26</v>
      </c>
      <c r="K39" s="6" t="str">
        <f aca="false">IF(H39=0,"",J39/H39)</f>
        <v/>
      </c>
    </row>
    <row r="40" customFormat="false" ht="15" hidden="false" customHeight="false" outlineLevel="0" collapsed="false">
      <c r="A40" s="4" t="s">
        <v>63</v>
      </c>
      <c r="B40" s="4" t="s">
        <v>182</v>
      </c>
      <c r="C40" s="4" t="s">
        <v>130</v>
      </c>
      <c r="D40" s="4" t="s">
        <v>183</v>
      </c>
      <c r="E40" s="4" t="s">
        <v>51</v>
      </c>
      <c r="F40" s="4" t="s">
        <v>52</v>
      </c>
      <c r="G40" s="4" t="s">
        <v>42</v>
      </c>
      <c r="H40" s="16" t="n">
        <v>0</v>
      </c>
      <c r="I40" s="16" t="n">
        <v>9623.58</v>
      </c>
      <c r="J40" s="5" t="n">
        <f aca="false">H40-I40</f>
        <v>-9623.58</v>
      </c>
      <c r="K40" s="6" t="str">
        <f aca="false">IF(H40=0,"",J40/H40)</f>
        <v/>
      </c>
    </row>
    <row r="41" customFormat="false" ht="15" hidden="false" customHeight="false" outlineLevel="0" collapsed="false">
      <c r="A41" s="4" t="s">
        <v>63</v>
      </c>
      <c r="B41" s="4" t="s">
        <v>184</v>
      </c>
      <c r="C41" s="4" t="s">
        <v>130</v>
      </c>
      <c r="D41" s="4" t="s">
        <v>185</v>
      </c>
      <c r="E41" s="4" t="s">
        <v>51</v>
      </c>
      <c r="F41" s="4" t="s">
        <v>52</v>
      </c>
      <c r="G41" s="4" t="s">
        <v>42</v>
      </c>
      <c r="H41" s="16" t="n">
        <v>0</v>
      </c>
      <c r="I41" s="16" t="n">
        <v>7845.52</v>
      </c>
      <c r="J41" s="5" t="n">
        <f aca="false">H41-I41</f>
        <v>-7845.52</v>
      </c>
      <c r="K41" s="6" t="str">
        <f aca="false">IF(H41=0,"",J41/H41)</f>
        <v/>
      </c>
    </row>
    <row r="42" customFormat="false" ht="15" hidden="false" customHeight="false" outlineLevel="0" collapsed="false">
      <c r="A42" s="4" t="s">
        <v>63</v>
      </c>
      <c r="B42" s="4" t="s">
        <v>186</v>
      </c>
      <c r="C42" s="4" t="s">
        <v>130</v>
      </c>
      <c r="D42" s="4" t="s">
        <v>187</v>
      </c>
      <c r="E42" s="4" t="s">
        <v>51</v>
      </c>
      <c r="F42" s="4" t="s">
        <v>52</v>
      </c>
      <c r="G42" s="4" t="s">
        <v>42</v>
      </c>
      <c r="H42" s="16" t="n">
        <v>0</v>
      </c>
      <c r="I42" s="16" t="n">
        <v>2592.91</v>
      </c>
      <c r="J42" s="5" t="n">
        <f aca="false">H42-I42</f>
        <v>-2592.91</v>
      </c>
      <c r="K42" s="6" t="str">
        <f aca="false">IF(H42=0,"",J42/H42)</f>
        <v/>
      </c>
    </row>
    <row r="43" customFormat="false" ht="15" hidden="false" customHeight="false" outlineLevel="0" collapsed="false">
      <c r="A43" s="4" t="s">
        <v>63</v>
      </c>
      <c r="B43" s="4" t="s">
        <v>188</v>
      </c>
      <c r="C43" s="4" t="s">
        <v>130</v>
      </c>
      <c r="D43" s="4" t="s">
        <v>189</v>
      </c>
      <c r="E43" s="4" t="s">
        <v>51</v>
      </c>
      <c r="F43" s="4" t="s">
        <v>52</v>
      </c>
      <c r="G43" s="4" t="s">
        <v>42</v>
      </c>
      <c r="H43" s="16" t="n">
        <v>0</v>
      </c>
      <c r="I43" s="16" t="n">
        <v>13848.27</v>
      </c>
      <c r="J43" s="5" t="n">
        <f aca="false">H43-I43</f>
        <v>-13848.27</v>
      </c>
      <c r="K43" s="6" t="str">
        <f aca="false">IF(H43=0,"",J43/H43)</f>
        <v/>
      </c>
    </row>
    <row r="44" customFormat="false" ht="15" hidden="false" customHeight="false" outlineLevel="0" collapsed="false">
      <c r="A44" s="4" t="s">
        <v>63</v>
      </c>
      <c r="B44" s="4" t="s">
        <v>190</v>
      </c>
      <c r="C44" s="4" t="s">
        <v>130</v>
      </c>
      <c r="D44" s="4" t="s">
        <v>191</v>
      </c>
      <c r="E44" s="4" t="s">
        <v>51</v>
      </c>
      <c r="F44" s="4" t="s">
        <v>52</v>
      </c>
      <c r="G44" s="4" t="s">
        <v>42</v>
      </c>
      <c r="H44" s="16" t="n">
        <v>0</v>
      </c>
      <c r="I44" s="16" t="n">
        <v>1083.8</v>
      </c>
      <c r="J44" s="5" t="n">
        <f aca="false">H44-I44</f>
        <v>-1083.8</v>
      </c>
      <c r="K44" s="6" t="str">
        <f aca="false">IF(H44=0,"",J44/H44)</f>
        <v/>
      </c>
    </row>
    <row r="45" customFormat="false" ht="15" hidden="false" customHeight="false" outlineLevel="0" collapsed="false">
      <c r="A45" s="4" t="s">
        <v>63</v>
      </c>
      <c r="B45" s="4" t="s">
        <v>192</v>
      </c>
      <c r="C45" s="4" t="s">
        <v>130</v>
      </c>
      <c r="D45" s="4" t="s">
        <v>193</v>
      </c>
      <c r="E45" s="4" t="s">
        <v>51</v>
      </c>
      <c r="F45" s="4" t="s">
        <v>52</v>
      </c>
      <c r="G45" s="4" t="s">
        <v>42</v>
      </c>
      <c r="H45" s="16" t="n">
        <v>73007.46</v>
      </c>
      <c r="I45" s="16" t="n">
        <v>20526.62</v>
      </c>
      <c r="J45" s="5" t="n">
        <f aca="false">H45-I45</f>
        <v>52480.84</v>
      </c>
      <c r="K45" s="6" t="n">
        <f aca="false">IF(H45=0,"",J45/H45)</f>
        <v>0.718842156678236</v>
      </c>
    </row>
    <row r="46" customFormat="false" ht="15" hidden="false" customHeight="false" outlineLevel="0" collapsed="false">
      <c r="A46" s="4" t="s">
        <v>65</v>
      </c>
      <c r="B46" s="4" t="s">
        <v>65</v>
      </c>
      <c r="C46" s="4" t="s">
        <v>121</v>
      </c>
      <c r="D46" s="4" t="s">
        <v>66</v>
      </c>
      <c r="E46" s="4" t="s">
        <v>40</v>
      </c>
      <c r="F46" s="4" t="s">
        <v>41</v>
      </c>
      <c r="G46" s="4" t="s">
        <v>53</v>
      </c>
      <c r="H46" s="16" t="n">
        <v>0</v>
      </c>
      <c r="I46" s="16" t="n">
        <v>63.74</v>
      </c>
      <c r="J46" s="5" t="n">
        <f aca="false">H46-I46</f>
        <v>-63.74</v>
      </c>
      <c r="K46" s="6" t="str">
        <f aca="false">IF(H46=0,"",J46/H46)</f>
        <v/>
      </c>
    </row>
    <row r="47" customFormat="false" ht="15" hidden="false" customHeight="false" outlineLevel="0" collapsed="false">
      <c r="A47" s="4" t="s">
        <v>68</v>
      </c>
      <c r="B47" s="4" t="s">
        <v>68</v>
      </c>
      <c r="C47" s="4" t="s">
        <v>121</v>
      </c>
      <c r="D47" s="4" t="s">
        <v>69</v>
      </c>
      <c r="E47" s="4" t="s">
        <v>56</v>
      </c>
      <c r="F47" s="4" t="s">
        <v>57</v>
      </c>
      <c r="G47" s="4" t="s">
        <v>53</v>
      </c>
      <c r="H47" s="16" t="n">
        <v>11672</v>
      </c>
      <c r="I47" s="16" t="n">
        <v>7441.8</v>
      </c>
      <c r="J47" s="5" t="n">
        <f aca="false">H47-I47</f>
        <v>4230.2</v>
      </c>
      <c r="K47" s="6" t="n">
        <f aca="false">IF(H47=0,"",J47/H47)</f>
        <v>0.362422892392049</v>
      </c>
    </row>
    <row r="48" customFormat="false" ht="15" hidden="false" customHeight="false" outlineLevel="0" collapsed="false">
      <c r="A48" s="4" t="s">
        <v>71</v>
      </c>
      <c r="B48" s="4" t="s">
        <v>71</v>
      </c>
      <c r="C48" s="4" t="s">
        <v>121</v>
      </c>
      <c r="D48" s="4" t="s">
        <v>72</v>
      </c>
      <c r="E48" s="4" t="s">
        <v>40</v>
      </c>
      <c r="F48" s="4" t="s">
        <v>41</v>
      </c>
      <c r="G48" s="4" t="s">
        <v>53</v>
      </c>
      <c r="H48" s="16" t="n">
        <v>28386.98</v>
      </c>
      <c r="I48" s="16" t="n">
        <v>9526.72</v>
      </c>
      <c r="J48" s="5" t="n">
        <f aca="false">H48-I48</f>
        <v>18860.26</v>
      </c>
      <c r="K48" s="6" t="n">
        <f aca="false">IF(H48=0,"",J48/H48)</f>
        <v>0.664398255820098</v>
      </c>
    </row>
    <row r="49" customFormat="false" ht="15" hidden="false" customHeight="false" outlineLevel="0" collapsed="false">
      <c r="A49" s="4" t="s">
        <v>73</v>
      </c>
      <c r="B49" s="4" t="s">
        <v>73</v>
      </c>
      <c r="C49" s="4" t="s">
        <v>121</v>
      </c>
      <c r="D49" s="4" t="s">
        <v>74</v>
      </c>
      <c r="E49" s="4" t="s">
        <v>40</v>
      </c>
      <c r="F49" s="4" t="s">
        <v>41</v>
      </c>
      <c r="G49" s="4" t="s">
        <v>53</v>
      </c>
      <c r="H49" s="16" t="n">
        <v>23808.41</v>
      </c>
      <c r="I49" s="16" t="n">
        <v>15466.47</v>
      </c>
      <c r="J49" s="5" t="n">
        <f aca="false">H49-I49</f>
        <v>8341.94</v>
      </c>
      <c r="K49" s="6" t="n">
        <f aca="false">IF(H49=0,"",J49/H49)</f>
        <v>0.35037787067679</v>
      </c>
    </row>
    <row r="50" customFormat="false" ht="15" hidden="false" customHeight="false" outlineLevel="0" collapsed="false">
      <c r="A50" s="4" t="s">
        <v>73</v>
      </c>
      <c r="B50" s="4" t="s">
        <v>194</v>
      </c>
      <c r="C50" s="4" t="s">
        <v>123</v>
      </c>
      <c r="D50" s="4" t="s">
        <v>195</v>
      </c>
      <c r="E50" s="4" t="s">
        <v>40</v>
      </c>
      <c r="F50" s="4" t="s">
        <v>41</v>
      </c>
      <c r="G50" s="4" t="s">
        <v>42</v>
      </c>
      <c r="H50" s="16" t="n">
        <v>0</v>
      </c>
      <c r="I50" s="16" t="n">
        <v>2386.57</v>
      </c>
      <c r="J50" s="5" t="n">
        <f aca="false">H50-I50</f>
        <v>-2386.57</v>
      </c>
      <c r="K50" s="6" t="str">
        <f aca="false">IF(H50=0,"",J50/H50)</f>
        <v/>
      </c>
    </row>
    <row r="51" customFormat="false" ht="15" hidden="false" customHeight="false" outlineLevel="0" collapsed="false">
      <c r="A51" s="4" t="s">
        <v>73</v>
      </c>
      <c r="B51" s="4" t="s">
        <v>196</v>
      </c>
      <c r="C51" s="4" t="s">
        <v>123</v>
      </c>
      <c r="D51" s="4" t="s">
        <v>197</v>
      </c>
      <c r="E51" s="4" t="s">
        <v>40</v>
      </c>
      <c r="F51" s="4" t="s">
        <v>41</v>
      </c>
      <c r="G51" s="4" t="s">
        <v>42</v>
      </c>
      <c r="H51" s="16" t="n">
        <v>0</v>
      </c>
      <c r="I51" s="16" t="n">
        <v>890.33</v>
      </c>
      <c r="J51" s="5" t="n">
        <f aca="false">H51-I51</f>
        <v>-890.33</v>
      </c>
      <c r="K51" s="6" t="str">
        <f aca="false">IF(H51=0,"",J51/H51)</f>
        <v/>
      </c>
    </row>
    <row r="52" customFormat="false" ht="15" hidden="false" customHeight="false" outlineLevel="0" collapsed="false">
      <c r="A52" s="4" t="s">
        <v>75</v>
      </c>
      <c r="B52" s="4" t="s">
        <v>75</v>
      </c>
      <c r="C52" s="4" t="s">
        <v>121</v>
      </c>
      <c r="D52" s="4" t="s">
        <v>76</v>
      </c>
      <c r="E52" s="4" t="s">
        <v>77</v>
      </c>
      <c r="F52" s="4" t="s">
        <v>78</v>
      </c>
      <c r="G52" s="4" t="s">
        <v>42</v>
      </c>
      <c r="H52" s="16" t="n">
        <v>625699.99</v>
      </c>
      <c r="I52" s="16" t="n">
        <v>521722.95</v>
      </c>
      <c r="J52" s="5" t="n">
        <f aca="false">H52-I52</f>
        <v>103977.04</v>
      </c>
      <c r="K52" s="6" t="n">
        <f aca="false">IF(H52=0,"",J52/H52)</f>
        <v>0.166177148252791</v>
      </c>
    </row>
    <row r="53" customFormat="false" ht="15" hidden="false" customHeight="false" outlineLevel="0" collapsed="false">
      <c r="A53" s="4" t="s">
        <v>79</v>
      </c>
      <c r="B53" s="4" t="s">
        <v>79</v>
      </c>
      <c r="C53" s="4" t="s">
        <v>121</v>
      </c>
      <c r="D53" s="4" t="s">
        <v>80</v>
      </c>
      <c r="E53" s="4" t="s">
        <v>56</v>
      </c>
      <c r="F53" s="4" t="s">
        <v>57</v>
      </c>
      <c r="G53" s="4" t="s">
        <v>53</v>
      </c>
      <c r="H53" s="16" t="n">
        <v>57217.58</v>
      </c>
      <c r="I53" s="16" t="n">
        <v>28199.46</v>
      </c>
      <c r="J53" s="5" t="n">
        <f aca="false">H53-I53</f>
        <v>29018.12</v>
      </c>
      <c r="K53" s="6" t="n">
        <f aca="false">IF(H53=0,"",J53/H53)</f>
        <v>0.507153920176282</v>
      </c>
    </row>
    <row r="54" customFormat="false" ht="15" hidden="false" customHeight="false" outlineLevel="0" collapsed="false">
      <c r="A54" s="4" t="s">
        <v>79</v>
      </c>
      <c r="B54" s="4" t="s">
        <v>198</v>
      </c>
      <c r="C54" s="4" t="s">
        <v>123</v>
      </c>
      <c r="D54" s="4" t="s">
        <v>199</v>
      </c>
      <c r="E54" s="4" t="s">
        <v>56</v>
      </c>
      <c r="F54" s="4" t="s">
        <v>57</v>
      </c>
      <c r="G54" s="4" t="s">
        <v>42</v>
      </c>
      <c r="H54" s="16" t="n">
        <v>0</v>
      </c>
      <c r="I54" s="16" t="n">
        <v>3909.79</v>
      </c>
      <c r="J54" s="5" t="n">
        <f aca="false">H54-I54</f>
        <v>-3909.79</v>
      </c>
      <c r="K54" s="6" t="str">
        <f aca="false">IF(H54=0,"",J54/H54)</f>
        <v/>
      </c>
    </row>
    <row r="55" customFormat="false" ht="15" hidden="false" customHeight="false" outlineLevel="0" collapsed="false">
      <c r="A55" s="4" t="s">
        <v>81</v>
      </c>
      <c r="B55" s="4" t="s">
        <v>81</v>
      </c>
      <c r="C55" s="4" t="s">
        <v>121</v>
      </c>
      <c r="D55" s="4" t="s">
        <v>82</v>
      </c>
      <c r="E55" s="4" t="s">
        <v>83</v>
      </c>
      <c r="F55" s="4" t="s">
        <v>84</v>
      </c>
      <c r="G55" s="4" t="s">
        <v>53</v>
      </c>
      <c r="H55" s="16" t="n">
        <v>2754.78</v>
      </c>
      <c r="I55" s="16" t="n">
        <v>1465.57</v>
      </c>
      <c r="J55" s="5" t="n">
        <f aca="false">H55-I55</f>
        <v>1289.21</v>
      </c>
      <c r="K55" s="6" t="n">
        <f aca="false">IF(H55=0,"",J55/H55)</f>
        <v>0.467990184334139</v>
      </c>
    </row>
    <row r="56" customFormat="false" ht="15" hidden="false" customHeight="false" outlineLevel="0" collapsed="false">
      <c r="A56" s="4" t="s">
        <v>85</v>
      </c>
      <c r="B56" s="4" t="s">
        <v>85</v>
      </c>
      <c r="C56" s="4" t="s">
        <v>121</v>
      </c>
      <c r="D56" s="4" t="s">
        <v>86</v>
      </c>
      <c r="E56" s="4" t="s">
        <v>87</v>
      </c>
      <c r="F56" s="4" t="s">
        <v>88</v>
      </c>
      <c r="G56" s="4" t="s">
        <v>53</v>
      </c>
      <c r="H56" s="16" t="n">
        <v>11741.5</v>
      </c>
      <c r="I56" s="16" t="n">
        <v>4966.25</v>
      </c>
      <c r="J56" s="5" t="n">
        <f aca="false">H56-I56</f>
        <v>6775.25</v>
      </c>
      <c r="K56" s="6" t="n">
        <f aca="false">IF(H56=0,"",J56/H56)</f>
        <v>0.57703445045352</v>
      </c>
    </row>
    <row r="57" customFormat="false" ht="15" hidden="false" customHeight="false" outlineLevel="0" collapsed="false">
      <c r="A57" s="4" t="s">
        <v>89</v>
      </c>
      <c r="B57" s="4" t="s">
        <v>89</v>
      </c>
      <c r="C57" s="4" t="s">
        <v>121</v>
      </c>
      <c r="D57" s="4" t="s">
        <v>90</v>
      </c>
      <c r="E57" s="4" t="s">
        <v>51</v>
      </c>
      <c r="F57" s="4" t="s">
        <v>52</v>
      </c>
      <c r="G57" s="4" t="s">
        <v>42</v>
      </c>
      <c r="H57" s="16" t="n">
        <v>584838.81</v>
      </c>
      <c r="I57" s="16" t="n">
        <v>167914.42</v>
      </c>
      <c r="J57" s="5" t="n">
        <f aca="false">H57-I57</f>
        <v>416924.39</v>
      </c>
      <c r="K57" s="6" t="n">
        <f aca="false">IF(H57=0,"",J57/H57)</f>
        <v>0.712887692935426</v>
      </c>
    </row>
    <row r="58" customFormat="false" ht="15" hidden="false" customHeight="false" outlineLevel="0" collapsed="false">
      <c r="A58" s="4" t="s">
        <v>89</v>
      </c>
      <c r="B58" s="4" t="s">
        <v>200</v>
      </c>
      <c r="C58" s="4" t="s">
        <v>123</v>
      </c>
      <c r="D58" s="4" t="s">
        <v>201</v>
      </c>
      <c r="E58" s="4" t="s">
        <v>51</v>
      </c>
      <c r="F58" s="4" t="s">
        <v>52</v>
      </c>
      <c r="G58" s="4" t="s">
        <v>42</v>
      </c>
      <c r="H58" s="16" t="n">
        <v>0</v>
      </c>
      <c r="I58" s="16" t="n">
        <v>78685.43</v>
      </c>
      <c r="J58" s="5" t="n">
        <f aca="false">H58-I58</f>
        <v>-78685.43</v>
      </c>
      <c r="K58" s="6" t="str">
        <f aca="false">IF(H58=0,"",J58/H58)</f>
        <v/>
      </c>
    </row>
    <row r="59" customFormat="false" ht="15" hidden="false" customHeight="false" outlineLevel="0" collapsed="false">
      <c r="A59" s="4" t="s">
        <v>89</v>
      </c>
      <c r="B59" s="4" t="s">
        <v>202</v>
      </c>
      <c r="C59" s="4" t="s">
        <v>123</v>
      </c>
      <c r="D59" s="4" t="s">
        <v>203</v>
      </c>
      <c r="E59" s="4" t="s">
        <v>51</v>
      </c>
      <c r="F59" s="4" t="s">
        <v>52</v>
      </c>
      <c r="G59" s="4" t="s">
        <v>42</v>
      </c>
      <c r="H59" s="16" t="n">
        <v>0</v>
      </c>
      <c r="I59" s="16" t="n">
        <v>6612.67</v>
      </c>
      <c r="J59" s="5" t="n">
        <f aca="false">H59-I59</f>
        <v>-6612.67</v>
      </c>
      <c r="K59" s="6" t="str">
        <f aca="false">IF(H59=0,"",J59/H59)</f>
        <v/>
      </c>
    </row>
    <row r="60" customFormat="false" ht="15" hidden="false" customHeight="false" outlineLevel="0" collapsed="false">
      <c r="A60" s="4" t="s">
        <v>89</v>
      </c>
      <c r="B60" s="4" t="s">
        <v>204</v>
      </c>
      <c r="C60" s="4" t="s">
        <v>123</v>
      </c>
      <c r="D60" s="4" t="s">
        <v>205</v>
      </c>
      <c r="E60" s="4" t="s">
        <v>51</v>
      </c>
      <c r="F60" s="4" t="s">
        <v>52</v>
      </c>
      <c r="G60" s="4" t="s">
        <v>42</v>
      </c>
      <c r="H60" s="16" t="n">
        <v>0</v>
      </c>
      <c r="I60" s="16" t="n">
        <v>27172.74</v>
      </c>
      <c r="J60" s="5" t="n">
        <f aca="false">H60-I60</f>
        <v>-27172.74</v>
      </c>
      <c r="K60" s="6" t="str">
        <f aca="false">IF(H60=0,"",J60/H60)</f>
        <v/>
      </c>
    </row>
    <row r="61" customFormat="false" ht="15" hidden="false" customHeight="false" outlineLevel="0" collapsed="false">
      <c r="A61" s="4" t="s">
        <v>89</v>
      </c>
      <c r="B61" s="4" t="s">
        <v>206</v>
      </c>
      <c r="C61" s="4" t="s">
        <v>123</v>
      </c>
      <c r="D61" s="4" t="s">
        <v>207</v>
      </c>
      <c r="E61" s="4" t="s">
        <v>51</v>
      </c>
      <c r="F61" s="4" t="s">
        <v>52</v>
      </c>
      <c r="G61" s="4" t="s">
        <v>42</v>
      </c>
      <c r="H61" s="16" t="n">
        <v>0</v>
      </c>
      <c r="I61" s="16" t="n">
        <v>28.3</v>
      </c>
      <c r="J61" s="5" t="n">
        <f aca="false">H61-I61</f>
        <v>-28.3</v>
      </c>
      <c r="K61" s="6" t="str">
        <f aca="false">IF(H61=0,"",J61/H61)</f>
        <v/>
      </c>
    </row>
    <row r="62" customFormat="false" ht="15" hidden="false" customHeight="false" outlineLevel="0" collapsed="false">
      <c r="A62" s="4" t="s">
        <v>89</v>
      </c>
      <c r="B62" s="4" t="s">
        <v>208</v>
      </c>
      <c r="C62" s="4" t="s">
        <v>123</v>
      </c>
      <c r="D62" s="4" t="s">
        <v>209</v>
      </c>
      <c r="E62" s="4" t="s">
        <v>51</v>
      </c>
      <c r="F62" s="4" t="s">
        <v>52</v>
      </c>
      <c r="G62" s="4" t="s">
        <v>42</v>
      </c>
      <c r="H62" s="16" t="n">
        <v>0</v>
      </c>
      <c r="I62" s="16" t="n">
        <v>4009.09</v>
      </c>
      <c r="J62" s="5" t="n">
        <f aca="false">H62-I62</f>
        <v>-4009.09</v>
      </c>
      <c r="K62" s="6" t="str">
        <f aca="false">IF(H62=0,"",J62/H62)</f>
        <v/>
      </c>
    </row>
    <row r="63" customFormat="false" ht="15" hidden="false" customHeight="false" outlineLevel="0" collapsed="false">
      <c r="A63" s="4" t="s">
        <v>89</v>
      </c>
      <c r="B63" s="4" t="s">
        <v>210</v>
      </c>
      <c r="C63" s="4" t="s">
        <v>123</v>
      </c>
      <c r="D63" s="4" t="s">
        <v>211</v>
      </c>
      <c r="E63" s="4" t="s">
        <v>51</v>
      </c>
      <c r="F63" s="4" t="s">
        <v>52</v>
      </c>
      <c r="G63" s="4" t="s">
        <v>42</v>
      </c>
      <c r="H63" s="16" t="n">
        <v>0</v>
      </c>
      <c r="I63" s="16" t="n">
        <v>10007.16</v>
      </c>
      <c r="J63" s="5" t="n">
        <f aca="false">H63-I63</f>
        <v>-10007.16</v>
      </c>
      <c r="K63" s="6" t="str">
        <f aca="false">IF(H63=0,"",J63/H63)</f>
        <v/>
      </c>
    </row>
    <row r="64" customFormat="false" ht="15" hidden="false" customHeight="false" outlineLevel="0" collapsed="false">
      <c r="A64" s="4" t="s">
        <v>89</v>
      </c>
      <c r="B64" s="4" t="s">
        <v>212</v>
      </c>
      <c r="C64" s="4" t="s">
        <v>123</v>
      </c>
      <c r="D64" s="4" t="s">
        <v>213</v>
      </c>
      <c r="E64" s="4" t="s">
        <v>51</v>
      </c>
      <c r="F64" s="4" t="s">
        <v>52</v>
      </c>
      <c r="G64" s="4" t="s">
        <v>42</v>
      </c>
      <c r="H64" s="16" t="n">
        <v>0</v>
      </c>
      <c r="I64" s="16" t="n">
        <v>4418.14</v>
      </c>
      <c r="J64" s="5" t="n">
        <f aca="false">H64-I64</f>
        <v>-4418.14</v>
      </c>
      <c r="K64" s="6" t="str">
        <f aca="false">IF(H64=0,"",J64/H64)</f>
        <v/>
      </c>
    </row>
    <row r="65" customFormat="false" ht="15" hidden="false" customHeight="false" outlineLevel="0" collapsed="false">
      <c r="A65" s="4" t="s">
        <v>89</v>
      </c>
      <c r="B65" s="4" t="s">
        <v>214</v>
      </c>
      <c r="C65" s="4" t="s">
        <v>123</v>
      </c>
      <c r="D65" s="4" t="s">
        <v>215</v>
      </c>
      <c r="E65" s="4" t="s">
        <v>51</v>
      </c>
      <c r="F65" s="4" t="s">
        <v>52</v>
      </c>
      <c r="G65" s="4" t="s">
        <v>42</v>
      </c>
      <c r="H65" s="16" t="n">
        <v>0</v>
      </c>
      <c r="I65" s="16" t="n">
        <v>6035.64</v>
      </c>
      <c r="J65" s="5" t="n">
        <f aca="false">H65-I65</f>
        <v>-6035.64</v>
      </c>
      <c r="K65" s="6" t="str">
        <f aca="false">IF(H65=0,"",J65/H65)</f>
        <v/>
      </c>
    </row>
    <row r="66" customFormat="false" ht="15" hidden="false" customHeight="false" outlineLevel="0" collapsed="false">
      <c r="A66" s="4" t="s">
        <v>89</v>
      </c>
      <c r="B66" s="4" t="s">
        <v>216</v>
      </c>
      <c r="C66" s="4" t="s">
        <v>130</v>
      </c>
      <c r="D66" s="4" t="s">
        <v>217</v>
      </c>
      <c r="E66" s="4" t="s">
        <v>51</v>
      </c>
      <c r="F66" s="4" t="s">
        <v>52</v>
      </c>
      <c r="G66" s="4" t="s">
        <v>42</v>
      </c>
      <c r="H66" s="16" t="n">
        <v>0</v>
      </c>
      <c r="I66" s="16" t="n">
        <v>4552.51</v>
      </c>
      <c r="J66" s="5" t="n">
        <f aca="false">H66-I66</f>
        <v>-4552.51</v>
      </c>
      <c r="K66" s="6" t="str">
        <f aca="false">IF(H66=0,"",J66/H66)</f>
        <v/>
      </c>
    </row>
    <row r="67" customFormat="false" ht="15" hidden="false" customHeight="false" outlineLevel="0" collapsed="false">
      <c r="A67" s="4" t="s">
        <v>89</v>
      </c>
      <c r="B67" s="4" t="s">
        <v>218</v>
      </c>
      <c r="C67" s="4" t="s">
        <v>130</v>
      </c>
      <c r="D67" s="4" t="s">
        <v>219</v>
      </c>
      <c r="E67" s="4" t="s">
        <v>51</v>
      </c>
      <c r="F67" s="4" t="s">
        <v>52</v>
      </c>
      <c r="G67" s="4" t="s">
        <v>42</v>
      </c>
      <c r="H67" s="16" t="n">
        <v>0</v>
      </c>
      <c r="I67" s="16" t="n">
        <v>25574.29</v>
      </c>
      <c r="J67" s="5" t="n">
        <f aca="false">H67-I67</f>
        <v>-25574.29</v>
      </c>
      <c r="K67" s="6" t="str">
        <f aca="false">IF(H67=0,"",J67/H67)</f>
        <v/>
      </c>
    </row>
    <row r="68" customFormat="false" ht="15" hidden="false" customHeight="false" outlineLevel="0" collapsed="false">
      <c r="A68" s="4" t="s">
        <v>89</v>
      </c>
      <c r="B68" s="4" t="s">
        <v>220</v>
      </c>
      <c r="C68" s="4" t="s">
        <v>130</v>
      </c>
      <c r="D68" s="4" t="s">
        <v>221</v>
      </c>
      <c r="E68" s="4" t="s">
        <v>51</v>
      </c>
      <c r="F68" s="4" t="s">
        <v>52</v>
      </c>
      <c r="G68" s="4" t="s">
        <v>42</v>
      </c>
      <c r="H68" s="16" t="n">
        <v>0</v>
      </c>
      <c r="I68" s="16" t="n">
        <v>20401.92</v>
      </c>
      <c r="J68" s="5" t="n">
        <f aca="false">H68-I68</f>
        <v>-20401.92</v>
      </c>
      <c r="K68" s="6" t="str">
        <f aca="false">IF(H68=0,"",J68/H68)</f>
        <v/>
      </c>
    </row>
    <row r="69" customFormat="false" ht="15" hidden="false" customHeight="false" outlineLevel="0" collapsed="false">
      <c r="A69" s="4" t="s">
        <v>89</v>
      </c>
      <c r="B69" s="4" t="s">
        <v>222</v>
      </c>
      <c r="C69" s="4" t="s">
        <v>130</v>
      </c>
      <c r="D69" s="4" t="s">
        <v>223</v>
      </c>
      <c r="E69" s="4" t="s">
        <v>51</v>
      </c>
      <c r="F69" s="4" t="s">
        <v>52</v>
      </c>
      <c r="G69" s="4" t="s">
        <v>42</v>
      </c>
      <c r="H69" s="16" t="n">
        <v>0</v>
      </c>
      <c r="I69" s="16" t="n">
        <v>1153.92</v>
      </c>
      <c r="J69" s="5" t="n">
        <f aca="false">H69-I69</f>
        <v>-1153.92</v>
      </c>
      <c r="K69" s="6" t="str">
        <f aca="false">IF(H69=0,"",J69/H69)</f>
        <v/>
      </c>
    </row>
    <row r="70" customFormat="false" ht="15" hidden="false" customHeight="false" outlineLevel="0" collapsed="false">
      <c r="A70" s="4" t="s">
        <v>89</v>
      </c>
      <c r="B70" s="4" t="s">
        <v>224</v>
      </c>
      <c r="C70" s="4" t="s">
        <v>130</v>
      </c>
      <c r="D70" s="4" t="s">
        <v>225</v>
      </c>
      <c r="E70" s="4" t="s">
        <v>51</v>
      </c>
      <c r="F70" s="4" t="s">
        <v>52</v>
      </c>
      <c r="G70" s="4" t="s">
        <v>42</v>
      </c>
      <c r="H70" s="16" t="n">
        <v>0</v>
      </c>
      <c r="I70" s="16" t="n">
        <v>27706.76</v>
      </c>
      <c r="J70" s="5" t="n">
        <f aca="false">H70-I70</f>
        <v>-27706.76</v>
      </c>
      <c r="K70" s="6" t="str">
        <f aca="false">IF(H70=0,"",J70/H70)</f>
        <v/>
      </c>
    </row>
    <row r="71" customFormat="false" ht="15" hidden="false" customHeight="false" outlineLevel="0" collapsed="false">
      <c r="A71" s="4" t="s">
        <v>89</v>
      </c>
      <c r="B71" s="4" t="s">
        <v>226</v>
      </c>
      <c r="C71" s="4" t="s">
        <v>130</v>
      </c>
      <c r="D71" s="4" t="s">
        <v>227</v>
      </c>
      <c r="E71" s="4" t="s">
        <v>51</v>
      </c>
      <c r="F71" s="4" t="s">
        <v>52</v>
      </c>
      <c r="G71" s="4" t="s">
        <v>42</v>
      </c>
      <c r="H71" s="16" t="n">
        <v>0</v>
      </c>
      <c r="I71" s="16" t="n">
        <v>4026.8</v>
      </c>
      <c r="J71" s="5" t="n">
        <f aca="false">H71-I71</f>
        <v>-4026.8</v>
      </c>
      <c r="K71" s="6" t="str">
        <f aca="false">IF(H71=0,"",J71/H71)</f>
        <v/>
      </c>
    </row>
    <row r="72" customFormat="false" ht="15" hidden="false" customHeight="false" outlineLevel="0" collapsed="false">
      <c r="A72" s="4" t="s">
        <v>89</v>
      </c>
      <c r="B72" s="4" t="s">
        <v>228</v>
      </c>
      <c r="C72" s="4" t="s">
        <v>130</v>
      </c>
      <c r="D72" s="4" t="s">
        <v>229</v>
      </c>
      <c r="E72" s="4" t="s">
        <v>51</v>
      </c>
      <c r="F72" s="4" t="s">
        <v>52</v>
      </c>
      <c r="G72" s="4" t="s">
        <v>42</v>
      </c>
      <c r="H72" s="16" t="n">
        <v>0</v>
      </c>
      <c r="I72" s="16" t="n">
        <v>6942.25</v>
      </c>
      <c r="J72" s="5" t="n">
        <f aca="false">H72-I72</f>
        <v>-6942.25</v>
      </c>
      <c r="K72" s="6" t="str">
        <f aca="false">IF(H72=0,"",J72/H72)</f>
        <v/>
      </c>
    </row>
    <row r="73" customFormat="false" ht="15" hidden="false" customHeight="false" outlineLevel="0" collapsed="false">
      <c r="A73" s="4" t="s">
        <v>89</v>
      </c>
      <c r="B73" s="4" t="s">
        <v>230</v>
      </c>
      <c r="C73" s="4" t="s">
        <v>130</v>
      </c>
      <c r="D73" s="4" t="s">
        <v>231</v>
      </c>
      <c r="E73" s="4" t="s">
        <v>51</v>
      </c>
      <c r="F73" s="4" t="s">
        <v>52</v>
      </c>
      <c r="G73" s="4" t="s">
        <v>42</v>
      </c>
      <c r="H73" s="16" t="n">
        <v>0</v>
      </c>
      <c r="I73" s="16" t="n">
        <v>5007.04</v>
      </c>
      <c r="J73" s="5" t="n">
        <f aca="false">H73-I73</f>
        <v>-5007.04</v>
      </c>
      <c r="K73" s="6" t="str">
        <f aca="false">IF(H73=0,"",J73/H73)</f>
        <v/>
      </c>
    </row>
    <row r="74" customFormat="false" ht="15" hidden="false" customHeight="false" outlineLevel="0" collapsed="false">
      <c r="A74" s="4" t="s">
        <v>89</v>
      </c>
      <c r="B74" s="4" t="s">
        <v>232</v>
      </c>
      <c r="C74" s="4" t="s">
        <v>130</v>
      </c>
      <c r="D74" s="4" t="s">
        <v>205</v>
      </c>
      <c r="E74" s="4" t="s">
        <v>51</v>
      </c>
      <c r="F74" s="4" t="s">
        <v>52</v>
      </c>
      <c r="G74" s="4" t="s">
        <v>42</v>
      </c>
      <c r="H74" s="16" t="n">
        <v>0</v>
      </c>
      <c r="I74" s="16" t="n">
        <v>47938.16</v>
      </c>
      <c r="J74" s="5" t="n">
        <f aca="false">H74-I74</f>
        <v>-47938.16</v>
      </c>
      <c r="K74" s="6" t="str">
        <f aca="false">IF(H74=0,"",J74/H74)</f>
        <v/>
      </c>
    </row>
    <row r="75" customFormat="false" ht="15" hidden="false" customHeight="false" outlineLevel="0" collapsed="false">
      <c r="A75" s="4" t="s">
        <v>89</v>
      </c>
      <c r="B75" s="4" t="s">
        <v>233</v>
      </c>
      <c r="C75" s="4" t="s">
        <v>130</v>
      </c>
      <c r="D75" s="4" t="s">
        <v>234</v>
      </c>
      <c r="E75" s="4" t="s">
        <v>51</v>
      </c>
      <c r="F75" s="4" t="s">
        <v>52</v>
      </c>
      <c r="G75" s="4" t="s">
        <v>42</v>
      </c>
      <c r="H75" s="16" t="n">
        <v>0</v>
      </c>
      <c r="I75" s="16" t="n">
        <v>1740.27</v>
      </c>
      <c r="J75" s="5" t="n">
        <f aca="false">H75-I75</f>
        <v>-1740.27</v>
      </c>
      <c r="K75" s="6" t="str">
        <f aca="false">IF(H75=0,"",J75/H75)</f>
        <v/>
      </c>
    </row>
    <row r="76" customFormat="false" ht="15" hidden="false" customHeight="false" outlineLevel="0" collapsed="false">
      <c r="A76" s="4" t="s">
        <v>89</v>
      </c>
      <c r="B76" s="4" t="s">
        <v>235</v>
      </c>
      <c r="C76" s="4" t="s">
        <v>130</v>
      </c>
      <c r="D76" s="4" t="s">
        <v>236</v>
      </c>
      <c r="E76" s="4" t="s">
        <v>51</v>
      </c>
      <c r="F76" s="4" t="s">
        <v>52</v>
      </c>
      <c r="G76" s="4" t="s">
        <v>42</v>
      </c>
      <c r="H76" s="16" t="n">
        <v>0</v>
      </c>
      <c r="I76" s="16" t="n">
        <v>29058.53</v>
      </c>
      <c r="J76" s="5" t="n">
        <f aca="false">H76-I76</f>
        <v>-29058.53</v>
      </c>
      <c r="K76" s="6" t="str">
        <f aca="false">IF(H76=0,"",J76/H76)</f>
        <v/>
      </c>
    </row>
    <row r="77" customFormat="false" ht="15" hidden="false" customHeight="false" outlineLevel="0" collapsed="false">
      <c r="A77" s="4" t="s">
        <v>89</v>
      </c>
      <c r="B77" s="4" t="s">
        <v>237</v>
      </c>
      <c r="C77" s="4" t="s">
        <v>130</v>
      </c>
      <c r="D77" s="4" t="s">
        <v>238</v>
      </c>
      <c r="E77" s="4" t="s">
        <v>51</v>
      </c>
      <c r="F77" s="4" t="s">
        <v>52</v>
      </c>
      <c r="G77" s="4" t="s">
        <v>42</v>
      </c>
      <c r="H77" s="16" t="n">
        <v>0</v>
      </c>
      <c r="I77" s="16" t="n">
        <v>1783.68</v>
      </c>
      <c r="J77" s="5" t="n">
        <f aca="false">H77-I77</f>
        <v>-1783.68</v>
      </c>
      <c r="K77" s="6" t="str">
        <f aca="false">IF(H77=0,"",J77/H77)</f>
        <v/>
      </c>
    </row>
    <row r="78" customFormat="false" ht="15" hidden="false" customHeight="false" outlineLevel="0" collapsed="false">
      <c r="A78" s="4" t="s">
        <v>89</v>
      </c>
      <c r="B78" s="4" t="s">
        <v>239</v>
      </c>
      <c r="C78" s="4" t="s">
        <v>130</v>
      </c>
      <c r="D78" s="4" t="s">
        <v>240</v>
      </c>
      <c r="E78" s="4" t="s">
        <v>51</v>
      </c>
      <c r="F78" s="4" t="s">
        <v>52</v>
      </c>
      <c r="G78" s="4" t="s">
        <v>42</v>
      </c>
      <c r="H78" s="16" t="n">
        <v>0</v>
      </c>
      <c r="I78" s="16" t="n">
        <v>2896.29</v>
      </c>
      <c r="J78" s="5" t="n">
        <f aca="false">H78-I78</f>
        <v>-2896.29</v>
      </c>
      <c r="K78" s="6" t="str">
        <f aca="false">IF(H78=0,"",J78/H78)</f>
        <v/>
      </c>
    </row>
    <row r="79" customFormat="false" ht="15" hidden="false" customHeight="false" outlineLevel="0" collapsed="false">
      <c r="A79" s="4" t="s">
        <v>89</v>
      </c>
      <c r="B79" s="4" t="s">
        <v>241</v>
      </c>
      <c r="C79" s="4" t="s">
        <v>130</v>
      </c>
      <c r="D79" s="4" t="s">
        <v>242</v>
      </c>
      <c r="E79" s="4" t="s">
        <v>51</v>
      </c>
      <c r="F79" s="4" t="s">
        <v>52</v>
      </c>
      <c r="G79" s="4" t="s">
        <v>42</v>
      </c>
      <c r="H79" s="16" t="n">
        <v>0</v>
      </c>
      <c r="I79" s="16" t="n">
        <v>2690.75</v>
      </c>
      <c r="J79" s="5" t="n">
        <f aca="false">H79-I79</f>
        <v>-2690.75</v>
      </c>
      <c r="K79" s="6" t="str">
        <f aca="false">IF(H79=0,"",J79/H79)</f>
        <v/>
      </c>
    </row>
    <row r="80" customFormat="false" ht="15" hidden="false" customHeight="false" outlineLevel="0" collapsed="false">
      <c r="A80" s="4" t="s">
        <v>89</v>
      </c>
      <c r="B80" s="4" t="s">
        <v>243</v>
      </c>
      <c r="C80" s="4" t="s">
        <v>130</v>
      </c>
      <c r="D80" s="4" t="s">
        <v>244</v>
      </c>
      <c r="E80" s="4" t="s">
        <v>51</v>
      </c>
      <c r="F80" s="4" t="s">
        <v>52</v>
      </c>
      <c r="G80" s="4" t="s">
        <v>42</v>
      </c>
      <c r="H80" s="16" t="n">
        <v>0</v>
      </c>
      <c r="I80" s="16" t="n">
        <v>5720.69</v>
      </c>
      <c r="J80" s="5" t="n">
        <f aca="false">H80-I80</f>
        <v>-5720.69</v>
      </c>
      <c r="K80" s="6" t="str">
        <f aca="false">IF(H80=0,"",J80/H80)</f>
        <v/>
      </c>
    </row>
    <row r="81" customFormat="false" ht="15" hidden="false" customHeight="false" outlineLevel="0" collapsed="false">
      <c r="A81" s="4" t="s">
        <v>89</v>
      </c>
      <c r="B81" s="4" t="s">
        <v>245</v>
      </c>
      <c r="C81" s="4" t="s">
        <v>130</v>
      </c>
      <c r="D81" s="4" t="s">
        <v>246</v>
      </c>
      <c r="E81" s="4" t="s">
        <v>51</v>
      </c>
      <c r="F81" s="4" t="s">
        <v>52</v>
      </c>
      <c r="G81" s="4" t="s">
        <v>42</v>
      </c>
      <c r="H81" s="16" t="n">
        <v>0</v>
      </c>
      <c r="I81" s="16" t="n">
        <v>10803.36</v>
      </c>
      <c r="J81" s="5" t="n">
        <f aca="false">H81-I81</f>
        <v>-10803.36</v>
      </c>
      <c r="K81" s="6" t="str">
        <f aca="false">IF(H81=0,"",J81/H81)</f>
        <v/>
      </c>
    </row>
    <row r="82" customFormat="false" ht="15" hidden="false" customHeight="false" outlineLevel="0" collapsed="false">
      <c r="A82" s="4" t="s">
        <v>89</v>
      </c>
      <c r="B82" s="4" t="s">
        <v>247</v>
      </c>
      <c r="C82" s="4" t="s">
        <v>130</v>
      </c>
      <c r="D82" s="4" t="s">
        <v>248</v>
      </c>
      <c r="E82" s="4" t="s">
        <v>51</v>
      </c>
      <c r="F82" s="4" t="s">
        <v>52</v>
      </c>
      <c r="G82" s="4" t="s">
        <v>42</v>
      </c>
      <c r="H82" s="16" t="n">
        <v>0</v>
      </c>
      <c r="I82" s="16" t="n">
        <v>4665.26</v>
      </c>
      <c r="J82" s="5" t="n">
        <f aca="false">H82-I82</f>
        <v>-4665.26</v>
      </c>
      <c r="K82" s="6" t="str">
        <f aca="false">IF(H82=0,"",J82/H82)</f>
        <v/>
      </c>
    </row>
    <row r="83" customFormat="false" ht="15" hidden="false" customHeight="false" outlineLevel="0" collapsed="false">
      <c r="A83" s="4" t="s">
        <v>89</v>
      </c>
      <c r="B83" s="4" t="s">
        <v>249</v>
      </c>
      <c r="C83" s="4" t="s">
        <v>130</v>
      </c>
      <c r="D83" s="4" t="s">
        <v>250</v>
      </c>
      <c r="E83" s="4" t="s">
        <v>51</v>
      </c>
      <c r="F83" s="4" t="s">
        <v>52</v>
      </c>
      <c r="G83" s="4" t="s">
        <v>42</v>
      </c>
      <c r="H83" s="16" t="n">
        <v>0</v>
      </c>
      <c r="I83" s="16" t="n">
        <v>2022.2</v>
      </c>
      <c r="J83" s="5" t="n">
        <f aca="false">H83-I83</f>
        <v>-2022.2</v>
      </c>
      <c r="K83" s="6" t="str">
        <f aca="false">IF(H83=0,"",J83/H83)</f>
        <v/>
      </c>
    </row>
    <row r="84" customFormat="false" ht="15" hidden="false" customHeight="false" outlineLevel="0" collapsed="false">
      <c r="A84" s="4" t="s">
        <v>91</v>
      </c>
      <c r="B84" s="4" t="s">
        <v>91</v>
      </c>
      <c r="C84" s="4" t="s">
        <v>121</v>
      </c>
      <c r="D84" s="4" t="s">
        <v>92</v>
      </c>
      <c r="E84" s="4" t="s">
        <v>87</v>
      </c>
      <c r="F84" s="4" t="s">
        <v>88</v>
      </c>
      <c r="G84" s="4" t="s">
        <v>53</v>
      </c>
      <c r="H84" s="16" t="n">
        <v>11576</v>
      </c>
      <c r="I84" s="16" t="n">
        <v>6207.44</v>
      </c>
      <c r="J84" s="5" t="n">
        <f aca="false">H84-I84</f>
        <v>5368.56</v>
      </c>
      <c r="K84" s="6" t="n">
        <f aca="false">IF(H84=0,"",J84/H84)</f>
        <v>0.463766413268832</v>
      </c>
    </row>
    <row r="85" customFormat="false" ht="15" hidden="false" customHeight="false" outlineLevel="0" collapsed="false">
      <c r="A85" s="4" t="s">
        <v>93</v>
      </c>
      <c r="B85" s="4" t="s">
        <v>93</v>
      </c>
      <c r="C85" s="4" t="s">
        <v>121</v>
      </c>
      <c r="D85" s="4" t="s">
        <v>94</v>
      </c>
      <c r="E85" s="4" t="s">
        <v>87</v>
      </c>
      <c r="F85" s="4" t="s">
        <v>88</v>
      </c>
      <c r="G85" s="4" t="s">
        <v>53</v>
      </c>
      <c r="H85" s="16" t="n">
        <v>630.78</v>
      </c>
      <c r="I85" s="16" t="n">
        <v>522.24</v>
      </c>
      <c r="J85" s="5" t="n">
        <f aca="false">H85-I85</f>
        <v>108.54</v>
      </c>
      <c r="K85" s="6" t="n">
        <f aca="false">IF(H85=0,"",J85/H85)</f>
        <v>0.172072671929991</v>
      </c>
    </row>
    <row r="86" customFormat="false" ht="15" hidden="false" customHeight="false" outlineLevel="0" collapsed="false">
      <c r="A86" s="4" t="s">
        <v>96</v>
      </c>
      <c r="B86" s="4" t="s">
        <v>96</v>
      </c>
      <c r="C86" s="4" t="s">
        <v>121</v>
      </c>
      <c r="D86" s="4" t="s">
        <v>97</v>
      </c>
      <c r="E86" s="4" t="s">
        <v>98</v>
      </c>
      <c r="F86" s="4" t="s">
        <v>99</v>
      </c>
      <c r="G86" s="4" t="s">
        <v>42</v>
      </c>
      <c r="H86" s="16" t="n">
        <v>147814.35</v>
      </c>
      <c r="I86" s="16" t="n">
        <v>127039.03</v>
      </c>
      <c r="J86" s="5" t="n">
        <f aca="false">H86-I86</f>
        <v>20775.32</v>
      </c>
      <c r="K86" s="6" t="n">
        <f aca="false">IF(H86=0,"",J86/H86)</f>
        <v>0.140550088675423</v>
      </c>
    </row>
    <row r="87" customFormat="false" ht="15" hidden="false" customHeight="false" outlineLevel="0" collapsed="false">
      <c r="A87" s="4" t="s">
        <v>96</v>
      </c>
      <c r="B87" s="4" t="s">
        <v>251</v>
      </c>
      <c r="C87" s="4" t="s">
        <v>123</v>
      </c>
      <c r="D87" s="4" t="s">
        <v>252</v>
      </c>
      <c r="E87" s="4" t="s">
        <v>98</v>
      </c>
      <c r="F87" s="4" t="s">
        <v>99</v>
      </c>
      <c r="G87" s="4" t="s">
        <v>42</v>
      </c>
      <c r="H87" s="16" t="n">
        <v>0</v>
      </c>
      <c r="I87" s="16" t="n">
        <v>1765.46</v>
      </c>
      <c r="J87" s="5" t="n">
        <f aca="false">H87-I87</f>
        <v>-1765.46</v>
      </c>
      <c r="K87" s="6" t="str">
        <f aca="false">IF(H87=0,"",J87/H87)</f>
        <v/>
      </c>
    </row>
    <row r="88" customFormat="false" ht="15" hidden="false" customHeight="false" outlineLevel="0" collapsed="false">
      <c r="A88" s="4" t="s">
        <v>100</v>
      </c>
      <c r="B88" s="4" t="s">
        <v>100</v>
      </c>
      <c r="C88" s="4" t="s">
        <v>121</v>
      </c>
      <c r="D88" s="4" t="s">
        <v>101</v>
      </c>
      <c r="E88" s="4" t="s">
        <v>102</v>
      </c>
      <c r="F88" s="4" t="s">
        <v>103</v>
      </c>
      <c r="G88" s="4" t="s">
        <v>53</v>
      </c>
      <c r="H88" s="16" t="n">
        <v>5278</v>
      </c>
      <c r="I88" s="16" t="n">
        <v>3964.27</v>
      </c>
      <c r="J88" s="5" t="n">
        <f aca="false">H88-I88</f>
        <v>1313.73</v>
      </c>
      <c r="K88" s="6" t="n">
        <f aca="false">IF(H88=0,"",J88/H88)</f>
        <v>0.2489067828723</v>
      </c>
    </row>
    <row r="89" customFormat="false" ht="15" hidden="false" customHeight="false" outlineLevel="0" collapsed="false">
      <c r="A89" s="4" t="s">
        <v>104</v>
      </c>
      <c r="B89" s="4" t="s">
        <v>104</v>
      </c>
      <c r="C89" s="4" t="s">
        <v>121</v>
      </c>
      <c r="D89" s="4" t="s">
        <v>105</v>
      </c>
      <c r="E89" s="4" t="s">
        <v>56</v>
      </c>
      <c r="F89" s="4" t="s">
        <v>57</v>
      </c>
      <c r="G89" s="4" t="s">
        <v>53</v>
      </c>
      <c r="H89" s="16" t="n">
        <v>4959</v>
      </c>
      <c r="I89" s="16" t="n">
        <v>3982.62</v>
      </c>
      <c r="J89" s="5" t="n">
        <f aca="false">H89-I89</f>
        <v>976.38</v>
      </c>
      <c r="K89" s="6" t="n">
        <f aca="false">IF(H89=0,"",J89/H89)</f>
        <v>0.196890502117362</v>
      </c>
    </row>
    <row r="90" customFormat="false" ht="15" hidden="false" customHeight="false" outlineLevel="0" collapsed="false">
      <c r="A90" s="4" t="s">
        <v>106</v>
      </c>
      <c r="B90" s="4" t="s">
        <v>106</v>
      </c>
      <c r="C90" s="4" t="s">
        <v>121</v>
      </c>
      <c r="D90" s="4" t="s">
        <v>107</v>
      </c>
      <c r="E90" s="4" t="s">
        <v>56</v>
      </c>
      <c r="F90" s="4" t="s">
        <v>57</v>
      </c>
      <c r="G90" s="4" t="s">
        <v>53</v>
      </c>
      <c r="H90" s="16" t="n">
        <v>6000</v>
      </c>
      <c r="I90" s="16" t="n">
        <v>4549.33</v>
      </c>
      <c r="J90" s="5" t="n">
        <f aca="false">H90-I90</f>
        <v>1450.67</v>
      </c>
      <c r="K90" s="6" t="n">
        <f aca="false">IF(H90=0,"",J90/H90)</f>
        <v>0.241778333333333</v>
      </c>
    </row>
    <row r="91" customFormat="false" ht="15" hidden="false" customHeight="false" outlineLevel="0" collapsed="false">
      <c r="A91" s="4" t="s">
        <v>108</v>
      </c>
      <c r="B91" s="4" t="s">
        <v>108</v>
      </c>
      <c r="C91" s="4" t="s">
        <v>121</v>
      </c>
      <c r="D91" s="4" t="s">
        <v>109</v>
      </c>
      <c r="E91" s="4" t="s">
        <v>87</v>
      </c>
      <c r="F91" s="4" t="s">
        <v>88</v>
      </c>
      <c r="G91" s="4" t="s">
        <v>53</v>
      </c>
      <c r="H91" s="16" t="n">
        <v>3284</v>
      </c>
      <c r="I91" s="16" t="n">
        <v>1631.46</v>
      </c>
      <c r="J91" s="5" t="n">
        <f aca="false">H91-I91</f>
        <v>1652.54</v>
      </c>
      <c r="K91" s="6" t="n">
        <f aca="false">IF(H91=0,"",J91/H91)</f>
        <v>0.503209500609013</v>
      </c>
    </row>
    <row r="92" customFormat="false" ht="15" hidden="false" customHeight="false" outlineLevel="0" collapsed="false">
      <c r="A92" s="4" t="s">
        <v>110</v>
      </c>
      <c r="B92" s="4" t="s">
        <v>110</v>
      </c>
      <c r="C92" s="4" t="s">
        <v>121</v>
      </c>
      <c r="D92" s="4" t="s">
        <v>111</v>
      </c>
      <c r="E92" s="4" t="s">
        <v>51</v>
      </c>
      <c r="F92" s="4" t="s">
        <v>52</v>
      </c>
      <c r="G92" s="4" t="s">
        <v>42</v>
      </c>
      <c r="H92" s="16" t="n">
        <v>183669.52</v>
      </c>
      <c r="I92" s="16" t="n">
        <v>18767.36</v>
      </c>
      <c r="J92" s="5" t="n">
        <f aca="false">H92-I92</f>
        <v>164902.16</v>
      </c>
      <c r="K92" s="6" t="n">
        <f aca="false">IF(H92=0,"",J92/H92)</f>
        <v>0.897819954013056</v>
      </c>
    </row>
    <row r="93" customFormat="false" ht="15" hidden="false" customHeight="false" outlineLevel="0" collapsed="false">
      <c r="A93" s="4" t="s">
        <v>110</v>
      </c>
      <c r="B93" s="4" t="s">
        <v>253</v>
      </c>
      <c r="C93" s="4" t="s">
        <v>123</v>
      </c>
      <c r="D93" s="4" t="s">
        <v>254</v>
      </c>
      <c r="E93" s="4" t="s">
        <v>51</v>
      </c>
      <c r="F93" s="4" t="s">
        <v>52</v>
      </c>
      <c r="G93" s="4" t="s">
        <v>42</v>
      </c>
      <c r="H93" s="16" t="n">
        <v>0</v>
      </c>
      <c r="I93" s="16" t="n">
        <v>473.75</v>
      </c>
      <c r="J93" s="5" t="n">
        <f aca="false">H93-I93</f>
        <v>-473.75</v>
      </c>
      <c r="K93" s="6" t="str">
        <f aca="false">IF(H93=0,"",J93/H93)</f>
        <v/>
      </c>
    </row>
    <row r="94" customFormat="false" ht="15" hidden="false" customHeight="false" outlineLevel="0" collapsed="false">
      <c r="A94" s="4" t="s">
        <v>110</v>
      </c>
      <c r="B94" s="4" t="s">
        <v>255</v>
      </c>
      <c r="C94" s="4" t="s">
        <v>123</v>
      </c>
      <c r="D94" s="4" t="s">
        <v>256</v>
      </c>
      <c r="E94" s="4" t="s">
        <v>51</v>
      </c>
      <c r="F94" s="4" t="s">
        <v>52</v>
      </c>
      <c r="G94" s="4" t="s">
        <v>42</v>
      </c>
      <c r="H94" s="16" t="n">
        <v>0</v>
      </c>
      <c r="I94" s="16" t="n">
        <v>1561.66</v>
      </c>
      <c r="J94" s="5" t="n">
        <f aca="false">H94-I94</f>
        <v>-1561.66</v>
      </c>
      <c r="K94" s="6" t="str">
        <f aca="false">IF(H94=0,"",J94/H94)</f>
        <v/>
      </c>
    </row>
    <row r="95" customFormat="false" ht="15" hidden="false" customHeight="false" outlineLevel="0" collapsed="false">
      <c r="A95" s="4" t="s">
        <v>110</v>
      </c>
      <c r="B95" s="4" t="s">
        <v>257</v>
      </c>
      <c r="C95" s="4" t="s">
        <v>123</v>
      </c>
      <c r="D95" s="4" t="s">
        <v>147</v>
      </c>
      <c r="E95" s="4" t="s">
        <v>51</v>
      </c>
      <c r="F95" s="4" t="s">
        <v>52</v>
      </c>
      <c r="G95" s="4" t="s">
        <v>42</v>
      </c>
      <c r="H95" s="16" t="n">
        <v>0</v>
      </c>
      <c r="I95" s="16" t="n">
        <v>48577.19</v>
      </c>
      <c r="J95" s="5" t="n">
        <f aca="false">H95-I95</f>
        <v>-48577.19</v>
      </c>
      <c r="K95" s="6" t="str">
        <f aca="false">IF(H95=0,"",J95/H95)</f>
        <v/>
      </c>
    </row>
    <row r="96" customFormat="false" ht="15" hidden="false" customHeight="false" outlineLevel="0" collapsed="false">
      <c r="A96" s="4" t="s">
        <v>110</v>
      </c>
      <c r="B96" s="4" t="s">
        <v>258</v>
      </c>
      <c r="C96" s="4" t="s">
        <v>130</v>
      </c>
      <c r="D96" s="4" t="s">
        <v>259</v>
      </c>
      <c r="E96" s="4" t="s">
        <v>51</v>
      </c>
      <c r="F96" s="4" t="s">
        <v>52</v>
      </c>
      <c r="G96" s="4" t="s">
        <v>42</v>
      </c>
      <c r="H96" s="16" t="n">
        <v>0</v>
      </c>
      <c r="I96" s="16" t="n">
        <v>1173.25</v>
      </c>
      <c r="J96" s="5" t="n">
        <f aca="false">H96-I96</f>
        <v>-1173.25</v>
      </c>
      <c r="K96" s="6" t="str">
        <f aca="false">IF(H96=0,"",J96/H96)</f>
        <v/>
      </c>
    </row>
    <row r="97" customFormat="false" ht="15" hidden="false" customHeight="false" outlineLevel="0" collapsed="false">
      <c r="A97" s="4" t="s">
        <v>110</v>
      </c>
      <c r="B97" s="4" t="s">
        <v>260</v>
      </c>
      <c r="C97" s="4" t="s">
        <v>130</v>
      </c>
      <c r="D97" s="4" t="s">
        <v>261</v>
      </c>
      <c r="E97" s="4" t="s">
        <v>51</v>
      </c>
      <c r="F97" s="4" t="s">
        <v>52</v>
      </c>
      <c r="G97" s="4" t="s">
        <v>42</v>
      </c>
      <c r="H97" s="16" t="n">
        <v>0</v>
      </c>
      <c r="I97" s="16" t="n">
        <v>16475.25</v>
      </c>
      <c r="J97" s="5" t="n">
        <f aca="false">H97-I97</f>
        <v>-16475.25</v>
      </c>
      <c r="K97" s="6" t="str">
        <f aca="false">IF(H97=0,"",J97/H97)</f>
        <v/>
      </c>
    </row>
    <row r="98" customFormat="false" ht="15" hidden="false" customHeight="false" outlineLevel="0" collapsed="false">
      <c r="A98" s="4" t="s">
        <v>110</v>
      </c>
      <c r="B98" s="4" t="s">
        <v>262</v>
      </c>
      <c r="C98" s="4" t="s">
        <v>130</v>
      </c>
      <c r="D98" s="4" t="s">
        <v>263</v>
      </c>
      <c r="E98" s="4" t="s">
        <v>51</v>
      </c>
      <c r="F98" s="4" t="s">
        <v>52</v>
      </c>
      <c r="G98" s="4" t="s">
        <v>42</v>
      </c>
      <c r="H98" s="16" t="n">
        <v>0</v>
      </c>
      <c r="I98" s="16" t="n">
        <v>5580.66</v>
      </c>
      <c r="J98" s="5" t="n">
        <f aca="false">H98-I98</f>
        <v>-5580.66</v>
      </c>
      <c r="K98" s="6" t="str">
        <f aca="false">IF(H98=0,"",J98/H98)</f>
        <v/>
      </c>
    </row>
    <row r="99" customFormat="false" ht="15" hidden="false" customHeight="false" outlineLevel="0" collapsed="false">
      <c r="A99" s="4" t="s">
        <v>110</v>
      </c>
      <c r="B99" s="4" t="s">
        <v>264</v>
      </c>
      <c r="C99" s="4" t="s">
        <v>130</v>
      </c>
      <c r="D99" s="4" t="s">
        <v>265</v>
      </c>
      <c r="E99" s="4" t="s">
        <v>51</v>
      </c>
      <c r="F99" s="4" t="s">
        <v>52</v>
      </c>
      <c r="G99" s="4" t="s">
        <v>42</v>
      </c>
      <c r="H99" s="16" t="n">
        <v>0</v>
      </c>
      <c r="I99" s="16" t="n">
        <v>421.05</v>
      </c>
      <c r="J99" s="5" t="n">
        <f aca="false">H99-I99</f>
        <v>-421.05</v>
      </c>
      <c r="K99" s="6" t="str">
        <f aca="false">IF(H99=0,"",J99/H99)</f>
        <v/>
      </c>
    </row>
    <row r="100" customFormat="false" ht="15" hidden="false" customHeight="false" outlineLevel="0" collapsed="false">
      <c r="A100" s="4" t="s">
        <v>110</v>
      </c>
      <c r="B100" s="4" t="s">
        <v>266</v>
      </c>
      <c r="C100" s="4" t="s">
        <v>130</v>
      </c>
      <c r="D100" s="4" t="s">
        <v>267</v>
      </c>
      <c r="E100" s="4" t="s">
        <v>51</v>
      </c>
      <c r="F100" s="4" t="s">
        <v>52</v>
      </c>
      <c r="G100" s="4" t="s">
        <v>42</v>
      </c>
      <c r="H100" s="16" t="n">
        <v>0</v>
      </c>
      <c r="I100" s="16" t="n">
        <v>448</v>
      </c>
      <c r="J100" s="5" t="n">
        <f aca="false">H100-I100</f>
        <v>-448</v>
      </c>
      <c r="K100" s="6" t="str">
        <f aca="false">IF(H100=0,"",J100/H100)</f>
        <v/>
      </c>
    </row>
    <row r="101" customFormat="false" ht="15" hidden="false" customHeight="false" outlineLevel="0" collapsed="false">
      <c r="A101" s="17" t="s">
        <v>112</v>
      </c>
      <c r="B101" s="18"/>
      <c r="C101" s="18"/>
      <c r="D101" s="18"/>
      <c r="E101" s="18"/>
      <c r="F101" s="18"/>
      <c r="G101" s="18"/>
      <c r="H101" s="19" t="n">
        <f aca="false">SUBTOTAL(9,H5:H100)</f>
        <v>2713605.54</v>
      </c>
      <c r="I101" s="19" t="n">
        <f aca="false">SUBTOTAL(9,I5:I100)</f>
        <v>2242886.02</v>
      </c>
      <c r="J101" s="19" t="n">
        <f aca="false">SUBTOTAL(9,J5:J100)</f>
        <v>470719.52</v>
      </c>
      <c r="K101" s="20" t="n">
        <f aca="false">IF(H101=0,"",J101/H101)</f>
        <v>0.173466450101661</v>
      </c>
    </row>
  </sheetData>
  <autoFilter ref="A4:K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2026-10-21T09:17:40Z</dcterms:created>
  <dc:creator>openpyxl</dc:creator>
  <dc:description/>
  <dc:language>en-US</dc:language>
  <cp:lastModifiedBy/>
  <dcterms:modified xsi:type="dcterms:W3CDTF">2026-10-21T09:17:40Z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