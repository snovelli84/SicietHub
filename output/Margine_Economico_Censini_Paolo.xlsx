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pilogo" sheetId="1" state="visible" r:id="rId3"/>
    <sheet name="Commesse" sheetId="2" state="visible" r:id="rId4"/>
    <sheet name="Per cliente" sheetId="3" state="visible" r:id="rId5"/>
    <sheet name="Dettaglio" sheetId="4" state="visible" r:id="rId6"/>
  </sheets>
  <definedNames>
    <definedName function="false" hidden="true" localSheetId="1" name="_xlnm._FilterDatabase" vbProcedure="false">Commesse!$A$4:$Q$85</definedName>
    <definedName function="false" hidden="true" localSheetId="3" name="_xlnm._FilterDatabase" vbProcedure="false">Dettaglio!$A$4:$N$126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<sst xmlns="http://schemas.openxmlformats.org/spreadsheetml/2006/main" count="1655" uniqueCount="392">
  <si>
    <t xml:space="preserve">Prospetto Margine Economico - CENSINI PAOLO</t>
  </si>
  <si>
    <t xml:space="preserve">Fonte: export HTML 'Quadro Economico' fornito dall'utente. Valori del periodo di competenza.</t>
  </si>
  <si>
    <t xml:space="preserve">Voce</t>
  </si>
  <si>
    <t xml:space="preserve">Valore (€)</t>
  </si>
  <si>
    <t xml:space="preserve">% su ricavi</t>
  </si>
  <si>
    <t xml:space="preserve">Ricavi</t>
  </si>
  <si>
    <t xml:space="preserve">Costi diretti</t>
  </si>
  <si>
    <t xml:space="preserve">MLC (margine lordo di commessa)</t>
  </si>
  <si>
    <t xml:space="preserve">Fatturato</t>
  </si>
  <si>
    <t xml:space="preserve">Scostamento ricavi competenza - fatturato</t>
  </si>
  <si>
    <t xml:space="preserve">Per sezione</t>
  </si>
  <si>
    <t xml:space="preserve">Ricavi (€)</t>
  </si>
  <si>
    <t xml:space="preserve">Costi (€)</t>
  </si>
  <si>
    <t xml:space="preserve">MLC (€)</t>
  </si>
  <si>
    <t xml:space="preserve">% MLC</t>
  </si>
  <si>
    <t xml:space="preserve">Fatturato (€)</t>
  </si>
  <si>
    <t xml:space="preserve">N. commesse</t>
  </si>
  <si>
    <t xml:space="preserve">Standard</t>
  </si>
  <si>
    <t xml:space="preserve">Economie</t>
  </si>
  <si>
    <t xml:space="preserve">Indicatori</t>
  </si>
  <si>
    <t xml:space="preserve">Numero commesse</t>
  </si>
  <si>
    <t xml:space="preserve">Commesse con MLC negativo</t>
  </si>
  <si>
    <t xml:space="preserve">MLC perso sulle commesse in perdita (€)</t>
  </si>
  <si>
    <t xml:space="preserve">Numero righe (base + quadri + varianti + economie)</t>
  </si>
  <si>
    <t xml:space="preserve">Controllo: totale Dettaglio = totale Commesse</t>
  </si>
  <si>
    <t xml:space="preserve">Legenda</t>
  </si>
  <si>
    <t xml:space="preserve">Testo blu = valore copiato dal report (dato di input)</t>
  </si>
  <si>
    <t xml:space="preserve">Testo nero = formula</t>
  </si>
  <si>
    <t xml:space="preserve">Sfondo rosso = valore negativo (MLC o scostamento)</t>
  </si>
  <si>
    <t xml:space="preserve">Valori del periodo di competenza. Ricavi, costi e fatturato = somma delle righe del foglio Dettaglio.</t>
  </si>
  <si>
    <t xml:space="preserve">Sezione</t>
  </si>
  <si>
    <t xml:space="preserve">Commessa</t>
  </si>
  <si>
    <t xml:space="preserve">Descrizione</t>
  </si>
  <si>
    <t xml:space="preserve">Cod. cliente</t>
  </si>
  <si>
    <t xml:space="preserve">Cliente</t>
  </si>
  <si>
    <t xml:space="preserve">Stato</t>
  </si>
  <si>
    <t xml:space="preserve">% Inc. ricavi</t>
  </si>
  <si>
    <t xml:space="preserve">Costi diretti (€)</t>
  </si>
  <si>
    <t xml:space="preserve">% Inc. costi</t>
  </si>
  <si>
    <t xml:space="preserve">% Inc. MLC</t>
  </si>
  <si>
    <t xml:space="preserve">Scostamento ricavi - fatturato (€)</t>
  </si>
  <si>
    <t xml:space="preserve">N. varianti</t>
  </si>
  <si>
    <t xml:space="preserve">Avvisi</t>
  </si>
  <si>
    <t xml:space="preserve">S1185</t>
  </si>
  <si>
    <t xml:space="preserve">MONTE ARGENTARIO GESTIONE ILLUMINAZIONE PUBBLICA COMUNALE</t>
  </si>
  <si>
    <t xml:space="preserve">00294</t>
  </si>
  <si>
    <t xml:space="preserve">EDISON NEXT GOVERNMENT S.R.L.</t>
  </si>
  <si>
    <t xml:space="preserve">In Progress</t>
  </si>
  <si>
    <t xml:space="preserve">Costi previsti a zero</t>
  </si>
  <si>
    <t xml:space="preserve">S1186</t>
  </si>
  <si>
    <t xml:space="preserve">ORBETELLO GESTIONE ILLUMINAZIONE PUBBLICA COMUNALE</t>
  </si>
  <si>
    <t xml:space="preserve">S1386</t>
  </si>
  <si>
    <t xml:space="preserve">FORNITURA IN OPERA DI APPARATI PER L'IMPLEMENTAZIONE E MANUTANZIONE EVOLUTIVA DEI SISTEMI DI TELECONTROLLO PROSSO I SITI ACEA</t>
  </si>
  <si>
    <t xml:space="preserve">00311</t>
  </si>
  <si>
    <t xml:space="preserve">ACEA INFRASTRUCTURE S.p.A. - GRUPPO ACEA</t>
  </si>
  <si>
    <t xml:space="preserve">S1419</t>
  </si>
  <si>
    <t xml:space="preserve">SOSTITUZIONE DEI PUNTI LUCE A SERVIZIO DELL'IMPIANTO DI ILLUMINAZIONE DEL CAMPO SPORTIVO DI ALBINIA</t>
  </si>
  <si>
    <t xml:space="preserve">00017</t>
  </si>
  <si>
    <t xml:space="preserve">COMUNE DI ORBETELLO</t>
  </si>
  <si>
    <t xml:space="preserve">Chiusa</t>
  </si>
  <si>
    <t xml:space="preserve">S1483</t>
  </si>
  <si>
    <t xml:space="preserve">Fornitura in opera di apparati per l'implementazione e manutenzione evolutiva dei sistemi di Telecontrollo 2023 2024</t>
  </si>
  <si>
    <t xml:space="preserve">S1818</t>
  </si>
  <si>
    <t xml:space="preserve">INSTALLAZIONE GATEWAY E ANTENNE LORA - PISA E CASCINA</t>
  </si>
  <si>
    <t xml:space="preserve">00335</t>
  </si>
  <si>
    <t xml:space="preserve">ACQUE SPA</t>
  </si>
  <si>
    <t xml:space="preserve">S1836</t>
  </si>
  <si>
    <t xml:space="preserve">Conduzione e controllo potabilizzatore Giannutri periodo 2024/2027</t>
  </si>
  <si>
    <t xml:space="preserve">00050</t>
  </si>
  <si>
    <t xml:space="preserve">ACQUEDOTTO DEL FIORA S.P.A.</t>
  </si>
  <si>
    <t xml:space="preserve">Nuova</t>
  </si>
  <si>
    <t xml:space="preserve">S1860</t>
  </si>
  <si>
    <t xml:space="preserve">Fornitura in opera di apparati per l'implementazione e manutenzione evolutiva dei sistemi di Telecontrollo 2025 2026</t>
  </si>
  <si>
    <t xml:space="preserve">S1861</t>
  </si>
  <si>
    <t xml:space="preserve">QUADRO ELETTRICO SGRIGLIATORI ANSEDONIA</t>
  </si>
  <si>
    <t xml:space="preserve">00248</t>
  </si>
  <si>
    <t xml:space="preserve">REGIONE TOSCANA - GIUNTA REGIONALE</t>
  </si>
  <si>
    <t xml:space="preserve">S1873</t>
  </si>
  <si>
    <t xml:space="preserve">LINEE ENERGIA ELETTRICA - ACQUA POTABILE E TVCC EX AERONAUTICA</t>
  </si>
  <si>
    <t xml:space="preserve">00002</t>
  </si>
  <si>
    <t xml:space="preserve">COMUNE DI MONTE ARGENTARIO</t>
  </si>
  <si>
    <t xml:space="preserve">S1875</t>
  </si>
  <si>
    <t xml:space="preserve">EFFICIENTAMENTO ENERGETICO ILLUMINAZIONE ESTERNA DI VILLA ILVANA</t>
  </si>
  <si>
    <t xml:space="preserve">00348</t>
  </si>
  <si>
    <t xml:space="preserve">COMUNE DI MONTALTO DI CASTRO</t>
  </si>
  <si>
    <t xml:space="preserve">S1892</t>
  </si>
  <si>
    <t xml:space="preserve">TARGHE USCITE EMERGENZA CORSI MASCHERATI 2025</t>
  </si>
  <si>
    <t xml:space="preserve">00446</t>
  </si>
  <si>
    <t xml:space="preserve">ASSOCIAZIONE CARNEVALETTO DA TRE SOLDI</t>
  </si>
  <si>
    <t xml:space="preserve">S1894</t>
  </si>
  <si>
    <t xml:space="preserve">RIFACIMENTO QUADRO ELETTRICO PARCHEGGIO LA CAVA PORTO SANTO STEFANO</t>
  </si>
  <si>
    <t xml:space="preserve">S1913</t>
  </si>
  <si>
    <t xml:space="preserve">COMUNE ORBETELLO INSTALLAZIONE SISTEMI TOFOLAMP</t>
  </si>
  <si>
    <t xml:space="preserve">S1917</t>
  </si>
  <si>
    <t xml:space="preserve">IMPIANTO ELETTRICO ALIMENTAZIONE GRUPPI PRESE PIAZZA PER FORNITURE TEMPORANEE SPETTACOLI ED EVENTI</t>
  </si>
  <si>
    <t xml:space="preserve">S1931</t>
  </si>
  <si>
    <t xml:space="preserve">CAMPAGNA DEL POMODORO 2025</t>
  </si>
  <si>
    <t xml:space="preserve">00119</t>
  </si>
  <si>
    <t xml:space="preserve">CONSERVE ITALIA SOC. COOP. AGRICOLA</t>
  </si>
  <si>
    <t xml:space="preserve">S1936</t>
  </si>
  <si>
    <t xml:space="preserve">INSTALLAZIONE QUADRO GENERALE CONTATORI NUOVA SCUOLA ELEMENTARE DI ALBINIA</t>
  </si>
  <si>
    <t xml:space="preserve">S1937</t>
  </si>
  <si>
    <t xml:space="preserve">INTERVENTO DI RINNOVO E POTENZIAMENTO IMPIANTO DI DISSALAZIONE IN LOC. BONSERE, COMUNE DI ISOLA DEL GIGLIO CUP I61D22000120006</t>
  </si>
  <si>
    <t xml:space="preserve">S1957</t>
  </si>
  <si>
    <t xml:space="preserve">LAVORI DI RIPRISTINO ALLACCIO PUNTI LUCE STRADALI NUOVA ROTATORIA PORTO ERCOLE</t>
  </si>
  <si>
    <t xml:space="preserve">S1958</t>
  </si>
  <si>
    <t xml:space="preserve">ALLACCIO ELETTRICO PUNTI LUCE NUOVA ROTATORIA PORTO ERCOLE</t>
  </si>
  <si>
    <t xml:space="preserve">00735</t>
  </si>
  <si>
    <t xml:space="preserve">FRATELLI MASSAI s.r.l.</t>
  </si>
  <si>
    <t xml:space="preserve">S1961</t>
  </si>
  <si>
    <t xml:space="preserve">Fornitura di n. 3 Elettromiscelatori comprensivi di adattatore per le stazioni di pompaggio di Ansedonia e di Nassa</t>
  </si>
  <si>
    <t xml:space="preserve">S1963</t>
  </si>
  <si>
    <t xml:space="preserve">REALIZZAZIONE DI IMPIANTO DI PUBBLICA ILLUMINAZIONE DELLA PISTA CICLO-PEDONALE IN LOCALITÀ TORRE SALINE ALBINIA</t>
  </si>
  <si>
    <t xml:space="preserve">S1973</t>
  </si>
  <si>
    <t xml:space="preserve">Manutenzione straordinaria gruppo pompaggio antincendio palazzo comunale</t>
  </si>
  <si>
    <t xml:space="preserve">S1980</t>
  </si>
  <si>
    <t xml:space="preserve">INSTALLAZIONE TARGHE SEGNALAZIONE USCITE EMERGENZA CORSI MASCHERATI 2026</t>
  </si>
  <si>
    <t xml:space="preserve">S1982</t>
  </si>
  <si>
    <t xml:space="preserve">Manutenzione pubblica illuminazione 2026/2027</t>
  </si>
  <si>
    <t xml:space="preserve">S1986</t>
  </si>
  <si>
    <t xml:space="preserve">ALIMENTAZIONE PUNTI LUCE VIA DELLO SCOGLIO - PORTO SANTO STEFANO</t>
  </si>
  <si>
    <t xml:space="preserve">S1997</t>
  </si>
  <si>
    <t xml:space="preserve">REALIZZAZIONE DEL NUOVO IMPIANTO DI ILLUMINAZIONE PUBBLICA PRESSO LA STRADA DEL CAMPONE IN PORTO SANTO STEFANO - CIG: BABB02AAC7</t>
  </si>
  <si>
    <t xml:space="preserve">S2000</t>
  </si>
  <si>
    <t xml:space="preserve">Lavori di installazione di nuovi punti luce in ampliamento degli impianti di pubblico esistente in Orbetello</t>
  </si>
  <si>
    <t xml:space="preserve">S2007</t>
  </si>
  <si>
    <t xml:space="preserve">ALIMENTAZIONE ELETTRICA COLONNINE EROGAZIONE ACQUA PIAZZALE DEI RIONI E VIA DEL MOLO</t>
  </si>
  <si>
    <t xml:space="preserve">S2028</t>
  </si>
  <si>
    <t xml:space="preserve">LINEA ELETTRICA ILLUMINAZIONE ZONA LASTRICATO-SPALMATOIO</t>
  </si>
  <si>
    <t xml:space="preserve">00500</t>
  </si>
  <si>
    <t xml:space="preserve">CONSORZIO ISOLA DI GIANNUTRI</t>
  </si>
  <si>
    <t xml:space="preserve">S2035</t>
  </si>
  <si>
    <t xml:space="preserve">Assistenza elettrica per campagna pomodoro 2026</t>
  </si>
  <si>
    <t xml:space="preserve">S2048</t>
  </si>
  <si>
    <t xml:space="preserve">IMP. ELETTRICO E MECCANICO NUOVI VINIFICATORI CANTINA SCANSANO (I5514)</t>
  </si>
  <si>
    <t xml:space="preserve">00031</t>
  </si>
  <si>
    <t xml:space="preserve">ICEM SRL</t>
  </si>
  <si>
    <t xml:space="preserve">SF0001</t>
  </si>
  <si>
    <t xml:space="preserve">FORNITURA MATERIALI CONSERVE ITALIA</t>
  </si>
  <si>
    <t xml:space="preserve">SF0003</t>
  </si>
  <si>
    <t xml:space="preserve">FORNITURA MATERIALI ICEM</t>
  </si>
  <si>
    <t xml:space="preserve">SF0004</t>
  </si>
  <si>
    <t xml:space="preserve">FORNITURA MATERIALI COIMAR</t>
  </si>
  <si>
    <t xml:space="preserve">00100</t>
  </si>
  <si>
    <t xml:space="preserve">CO.I.MAR. s.r.l.</t>
  </si>
  <si>
    <t xml:space="preserve">SF0011</t>
  </si>
  <si>
    <t xml:space="preserve">FORNITURA MATERIALI VARI</t>
  </si>
  <si>
    <t xml:space="preserve">00143</t>
  </si>
  <si>
    <t xml:space="preserve">NOVELLIS EUGENIO</t>
  </si>
  <si>
    <t xml:space="preserve">SF0015</t>
  </si>
  <si>
    <t xml:space="preserve">FORNITURA MATERIALI CANTINA</t>
  </si>
  <si>
    <t xml:space="preserve">00074</t>
  </si>
  <si>
    <t xml:space="preserve">CANTINA COOP. VIGNAIOLI MORELLINO SCANSANO S.c.a.</t>
  </si>
  <si>
    <t xml:space="preserve">SF0021</t>
  </si>
  <si>
    <t xml:space="preserve">FORNITURA MATERIALI</t>
  </si>
  <si>
    <t xml:space="preserve">SF0042</t>
  </si>
  <si>
    <t xml:space="preserve">Forniture Ohissa (Manno) Capalbio Torba</t>
  </si>
  <si>
    <t xml:space="preserve">00830</t>
  </si>
  <si>
    <t xml:space="preserve">OHISSA s.r.l.</t>
  </si>
  <si>
    <t xml:space="preserve">SF0043</t>
  </si>
  <si>
    <t xml:space="preserve">Forniture Tirreno Fish (Manno) P.S.Stefano</t>
  </si>
  <si>
    <t xml:space="preserve">00831</t>
  </si>
  <si>
    <t xml:space="preserve">Tirreno fish srl unipersonale</t>
  </si>
  <si>
    <t xml:space="preserve">SF0044</t>
  </si>
  <si>
    <t xml:space="preserve">FORNITURE VARIE "MONETTI"</t>
  </si>
  <si>
    <t xml:space="preserve">00013</t>
  </si>
  <si>
    <t xml:space="preserve">MONETTI srl</t>
  </si>
  <si>
    <t xml:space="preserve">SL0002</t>
  </si>
  <si>
    <t xml:space="preserve">LAVORAZIONE DI OFFICINA</t>
  </si>
  <si>
    <t xml:space="preserve">SL0003</t>
  </si>
  <si>
    <t xml:space="preserve">LAVORAZIONI DI OFFICINA</t>
  </si>
  <si>
    <t xml:space="preserve">00113</t>
  </si>
  <si>
    <t xml:space="preserve">FABER DI RIZZI ANDREA</t>
  </si>
  <si>
    <t xml:space="preserve">SL0016</t>
  </si>
  <si>
    <t xml:space="preserve">LAVORAZIONI IN OFFICINA AZ. AGR. LA SELVA</t>
  </si>
  <si>
    <t xml:space="preserve">00213</t>
  </si>
  <si>
    <t xml:space="preserve">LA SELVA società bioagricola a r.l.</t>
  </si>
  <si>
    <t xml:space="preserve">SL0018</t>
  </si>
  <si>
    <t xml:space="preserve">LAVORAZIONI VARIE IN OFFICINA CANTINA SCANSANO</t>
  </si>
  <si>
    <t xml:space="preserve">SL0024</t>
  </si>
  <si>
    <t xml:space="preserve">LAVORAZIONI IN OFFICINA Fox 3000</t>
  </si>
  <si>
    <t xml:space="preserve">00307</t>
  </si>
  <si>
    <t xml:space="preserve">FOX 3000 SRL A SOCIO UNICO</t>
  </si>
  <si>
    <t xml:space="preserve">SM0008</t>
  </si>
  <si>
    <t xml:space="preserve">MANUTENZIONI VARIE</t>
  </si>
  <si>
    <t xml:space="preserve">SM0009</t>
  </si>
  <si>
    <t xml:space="preserve">SM0016</t>
  </si>
  <si>
    <t xml:space="preserve">GESTIONE IMP. IDRICI GIANNUTRI</t>
  </si>
  <si>
    <t xml:space="preserve">SM0019</t>
  </si>
  <si>
    <t xml:space="preserve">MANUTENZIONI E RIPARAZIONI VARIE</t>
  </si>
  <si>
    <t xml:space="preserve">00042</t>
  </si>
  <si>
    <t xml:space="preserve">MARINA CALA GALERA CIRCOLO NAUTICO s.p.a.</t>
  </si>
  <si>
    <t xml:space="preserve">SM0020</t>
  </si>
  <si>
    <t xml:space="preserve">SM0028</t>
  </si>
  <si>
    <t xml:space="preserve">MANUTENZIONI VARIE MONETTI</t>
  </si>
  <si>
    <t xml:space="preserve">SM0036</t>
  </si>
  <si>
    <t xml:space="preserve">MANUTENZIONI VARIE ORBETELLO PESCA</t>
  </si>
  <si>
    <t xml:space="preserve">00023</t>
  </si>
  <si>
    <t xml:space="preserve">ORBETELLO PESCA LAGUNARE Società Agricola a r.l.</t>
  </si>
  <si>
    <t xml:space="preserve">SM0039</t>
  </si>
  <si>
    <t xml:space="preserve">MANUTENZIONE VARI IMPIANTI MARSILIANA BITUMI</t>
  </si>
  <si>
    <t xml:space="preserve">00171</t>
  </si>
  <si>
    <t xml:space="preserve">MARSILIANA BITUMI s.r.l.</t>
  </si>
  <si>
    <t xml:space="preserve">SM0046</t>
  </si>
  <si>
    <t xml:space="preserve">MANUTENZIONI VARIE LA SELVA</t>
  </si>
  <si>
    <t xml:space="preserve">SM0052</t>
  </si>
  <si>
    <t xml:space="preserve">MANUTENZIONE CONDOMINIO LA FORNACINA</t>
  </si>
  <si>
    <t xml:space="preserve">00235</t>
  </si>
  <si>
    <t xml:space="preserve">CONDOMINIO FORNACINA</t>
  </si>
  <si>
    <t xml:space="preserve">SM0060</t>
  </si>
  <si>
    <t xml:space="preserve">MANUTENZIONE ELETTRICHE GIANNUTRI</t>
  </si>
  <si>
    <t xml:space="preserve">SM0062</t>
  </si>
  <si>
    <t xml:space="preserve">MANUTENZIONI LOCALI E IMPIANTI MARSILIANA</t>
  </si>
  <si>
    <t xml:space="preserve">00269</t>
  </si>
  <si>
    <t xml:space="preserve">TERRE DELL'ETRURIA Società Cooperativa Agricola tra Produttori</t>
  </si>
  <si>
    <t xml:space="preserve">SM0065</t>
  </si>
  <si>
    <t xml:space="preserve">MANUTENZIONI VARIE CANTINA PODERONE</t>
  </si>
  <si>
    <t xml:space="preserve">SM0066</t>
  </si>
  <si>
    <t xml:space="preserve">MANUTENZIONI VARIE COMUNE MONTE ARGENTARIO</t>
  </si>
  <si>
    <t xml:space="preserve">SM0071</t>
  </si>
  <si>
    <t xml:space="preserve">MANUTENZIONE "MATES PIANTE"</t>
  </si>
  <si>
    <t xml:space="preserve">00777</t>
  </si>
  <si>
    <t xml:space="preserve">Mates Piante Soc. Agr. S.S.</t>
  </si>
  <si>
    <t xml:space="preserve">SM0081</t>
  </si>
  <si>
    <t xml:space="preserve">MANUTENZIONI VARIE OLEIFICIO MONTIANO</t>
  </si>
  <si>
    <t xml:space="preserve">SM0083</t>
  </si>
  <si>
    <t xml:space="preserve">MANUTENZIONI CANTINA AMMIRAGLIA</t>
  </si>
  <si>
    <t xml:space="preserve">00296</t>
  </si>
  <si>
    <t xml:space="preserve">MARCHESE FRESCOBALDI società agricola srl unipersonale</t>
  </si>
  <si>
    <t xml:space="preserve">SM0090</t>
  </si>
  <si>
    <t xml:space="preserve">MANUTENZIONI VARIE RISTORANTE VIVO</t>
  </si>
  <si>
    <t xml:space="preserve">00314</t>
  </si>
  <si>
    <t xml:space="preserve">VIVO RISTORAZIONE SRL - UNIPERSONALE</t>
  </si>
  <si>
    <t xml:space="preserve">SM0113</t>
  </si>
  <si>
    <t xml:space="preserve">MANUTENZIONI VARIE "COPAIM" 2022</t>
  </si>
  <si>
    <t xml:space="preserve">00268</t>
  </si>
  <si>
    <t xml:space="preserve">CO.P.A.I.M. s.r.l. in liquidazione</t>
  </si>
  <si>
    <t xml:space="preserve">SM0121</t>
  </si>
  <si>
    <t xml:space="preserve">Manutenzioni Varie 'Ohissa' (Manno) Capalbio Torba</t>
  </si>
  <si>
    <t xml:space="preserve">SM0122</t>
  </si>
  <si>
    <t xml:space="preserve">Manutenzioni Tirreno Fish (Manno) P.S.Stefano</t>
  </si>
  <si>
    <t xml:space="preserve">SM0124</t>
  </si>
  <si>
    <t xml:space="preserve">Manutenzioni varie plessi scolastici</t>
  </si>
  <si>
    <t xml:space="preserve">00406</t>
  </si>
  <si>
    <t xml:space="preserve">GIOCOLARE SOCIETA' COOPERATIVA SOCIALE</t>
  </si>
  <si>
    <t xml:space="preserve">SM0125</t>
  </si>
  <si>
    <t xml:space="preserve">MANUTENZIONI VARIE CARREFOUR ALBINIA - BAGNOLI 2</t>
  </si>
  <si>
    <t xml:space="preserve">00459</t>
  </si>
  <si>
    <t xml:space="preserve">BAGNOLI DUE SNC DI CALDINI CLAUDIO &amp; C.</t>
  </si>
  <si>
    <t xml:space="preserve">SM0132</t>
  </si>
  <si>
    <t xml:space="preserve">MANUTENZIONI VARIE BOTTEGHE DEL MARE</t>
  </si>
  <si>
    <t xml:space="preserve">00835</t>
  </si>
  <si>
    <t xml:space="preserve">BOTTEGHE DEL MARE s.r.l.</t>
  </si>
  <si>
    <t xml:space="preserve">SM0136</t>
  </si>
  <si>
    <t xml:space="preserve">MANUTENZIONI AEROSTAZIONE GROSSETO 2024</t>
  </si>
  <si>
    <t xml:space="preserve">00033</t>
  </si>
  <si>
    <t xml:space="preserve">S.E.A.M. s.p.a. AEROPORTO CIVILE DI GROSSETO</t>
  </si>
  <si>
    <t xml:space="preserve">SM0140</t>
  </si>
  <si>
    <t xml:space="preserve">00413</t>
  </si>
  <si>
    <t xml:space="preserve">BRUGIOLO ARCANGELA</t>
  </si>
  <si>
    <t xml:space="preserve">SM0142</t>
  </si>
  <si>
    <t xml:space="preserve">MANUTENZIONI VARIE SGRILLOZZO</t>
  </si>
  <si>
    <t xml:space="preserve">SM0143</t>
  </si>
  <si>
    <t xml:space="preserve">MANUTENZIONI VARIE GRAF VON REC CARLO</t>
  </si>
  <si>
    <t xml:space="preserve">00410</t>
  </si>
  <si>
    <t xml:space="preserve">GRAF VON REX CARLO</t>
  </si>
  <si>
    <t xml:space="preserve">SM0144</t>
  </si>
  <si>
    <t xml:space="preserve">MANUTENZIONI VARIE EGGER</t>
  </si>
  <si>
    <t xml:space="preserve">00313</t>
  </si>
  <si>
    <t xml:space="preserve">EGGER ELODIE</t>
  </si>
  <si>
    <t xml:space="preserve">SM0145</t>
  </si>
  <si>
    <t xml:space="preserve">MANUTENZIONI VARIE SOC.AGR. IL PONTE SRL</t>
  </si>
  <si>
    <t xml:space="preserve">00447</t>
  </si>
  <si>
    <t xml:space="preserve">SOC. AGR. IL PONTE S.R.L.</t>
  </si>
  <si>
    <t xml:space="preserve">SM0147</t>
  </si>
  <si>
    <t xml:space="preserve">MANUTENZIONI VARIE MEV</t>
  </si>
  <si>
    <t xml:space="preserve">00696</t>
  </si>
  <si>
    <t xml:space="preserve">MEV S.R.L.</t>
  </si>
  <si>
    <t xml:space="preserve">SM0149</t>
  </si>
  <si>
    <t xml:space="preserve">MANUTENZIONI VARIE AZ. AGR. POGGIOLELLA DI CONSAGA</t>
  </si>
  <si>
    <t xml:space="preserve">00469</t>
  </si>
  <si>
    <t xml:space="preserve">AZIENDA AGRICOLA POGGIOLELLA DI CONSAGA MICHELE</t>
  </si>
  <si>
    <t xml:space="preserve">SM0150</t>
  </si>
  <si>
    <t xml:space="preserve">MANUTENZIONI VARIE ZIFFER</t>
  </si>
  <si>
    <t xml:space="preserve">00315</t>
  </si>
  <si>
    <t xml:space="preserve">ZIFFER TOMMASO CARLO</t>
  </si>
  <si>
    <t xml:space="preserve">SM0152</t>
  </si>
  <si>
    <t xml:space="preserve">MANUTENZIONI AEROSTAZIONE GROSSETO 2026</t>
  </si>
  <si>
    <t xml:space="preserve">SM0154</t>
  </si>
  <si>
    <t xml:space="preserve">MANUTENZIONI VARIE CONSORZIO CALA PICCOLA</t>
  </si>
  <si>
    <t xml:space="preserve">00319</t>
  </si>
  <si>
    <t xml:space="preserve">CONSORZIO CALA PICCOLA</t>
  </si>
  <si>
    <t xml:space="preserve">TOTALE</t>
  </si>
  <si>
    <t xml:space="preserve">Nota: nella riga TOTALE % Inc. costi e % Inc. MLC sono calcolate sui ricavi totali, come nel report.</t>
  </si>
  <si>
    <t xml:space="preserve">Riepilogo per cliente</t>
  </si>
  <si>
    <t xml:space="preserve">Calcolato sulle righe del Dettaglio (ogni variante conta per il proprio cliente).</t>
  </si>
  <si>
    <t xml:space="preserve">Scostamento (€)</t>
  </si>
  <si>
    <t xml:space="preserve">00293</t>
  </si>
  <si>
    <t xml:space="preserve">CITELUM S.A.</t>
  </si>
  <si>
    <t xml:space="preserve">Dettaglio commesse e varianti - CENSINI PAOLO</t>
  </si>
  <si>
    <t xml:space="preserve">Ricavi, costi e fatturato (in blu) copiati dal Prospetto Margine Economico (export HTML). MLC = Ricavi - Costi.</t>
  </si>
  <si>
    <t xml:space="preserve">Commessa madre</t>
  </si>
  <si>
    <t xml:space="preserve">Codice</t>
  </si>
  <si>
    <t xml:space="preserve">Tipo</t>
  </si>
  <si>
    <t xml:space="preserve">Base</t>
  </si>
  <si>
    <t xml:space="preserve">S1185ORD</t>
  </si>
  <si>
    <t xml:space="preserve">Variante</t>
  </si>
  <si>
    <t xml:space="preserve">MONTE ARGENTARIO GESTIONE ILLUMINAZIONE PUBBLICA COMUNALE - MANUTENZIONE ORDINARIA</t>
  </si>
  <si>
    <t xml:space="preserve">S1185STR</t>
  </si>
  <si>
    <t xml:space="preserve">MONTE ARGENTARIO GESTIONE ILLUMINAZIONE PUBBLICA COMUNALE - Manutenzione straordinaria</t>
  </si>
  <si>
    <t xml:space="preserve">S1186FON</t>
  </si>
  <si>
    <t xml:space="preserve">ILLUMINAZIONE PUBBLICA A SERVIZIO DELLA PIAZZA DELLE REGIONI E DELLA FONTANA</t>
  </si>
  <si>
    <t xml:space="preserve">S1186ORD</t>
  </si>
  <si>
    <t xml:space="preserve">ORBETELLO GESTIONE ILLUMINAZIONE PUBBLICA COMUNALE - MANUTENZIONE ORDINARIA</t>
  </si>
  <si>
    <t xml:space="preserve">S1186Q38</t>
  </si>
  <si>
    <t xml:space="preserve">Quadro</t>
  </si>
  <si>
    <t xml:space="preserve">Quadro Matr.: 26051 Tipo: Q.PIGCO.FN.25</t>
  </si>
  <si>
    <t xml:space="preserve">S1186STR</t>
  </si>
  <si>
    <t xml:space="preserve">ORBETELLO GESTIONE ILLUMINAZIONE PUBBLICA COMUNALE - MANUTENZIONE STRAORDINARIA</t>
  </si>
  <si>
    <t xml:space="preserve">S1386V08</t>
  </si>
  <si>
    <t xml:space="preserve">Revamping PLC Santa Marinella Nord</t>
  </si>
  <si>
    <t xml:space="preserve">S1483Q11</t>
  </si>
  <si>
    <t xml:space="preserve">Quadro Matr: 25019 Tipo: Q.AD.PC1.FN.10</t>
  </si>
  <si>
    <t xml:space="preserve">S1483Q12</t>
  </si>
  <si>
    <t xml:space="preserve">Quadro Matr: 25051 Tipo: Q.PLC.SEP.FN.16</t>
  </si>
  <si>
    <t xml:space="preserve">S1483Q13</t>
  </si>
  <si>
    <t xml:space="preserve">Quadro Matr: 25052 Tipo: Q.PLC.SOLL.S.ACQ.FN.10</t>
  </si>
  <si>
    <t xml:space="preserve">S1483V04</t>
  </si>
  <si>
    <t xml:space="preserve">Strumenti analisi 2024</t>
  </si>
  <si>
    <t xml:space="preserve">S1483V05</t>
  </si>
  <si>
    <t xml:space="preserve">Mini Kit Depuratori</t>
  </si>
  <si>
    <t xml:space="preserve">S1483V06</t>
  </si>
  <si>
    <t xml:space="preserve">Sei strumenti Potabilizzatore Bracciano</t>
  </si>
  <si>
    <t xml:space="preserve">S1483V07</t>
  </si>
  <si>
    <t xml:space="preserve">Quadro PLC Ponte Galeria (S1483Q07)</t>
  </si>
  <si>
    <t xml:space="preserve">S1483V08</t>
  </si>
  <si>
    <t xml:space="preserve">Quadro PLC Centri Idrici S. Andrea e S. Teresa (S1483Q08)</t>
  </si>
  <si>
    <t xml:space="preserve">S1483V09</t>
  </si>
  <si>
    <t xml:space="preserve">Quadro PLC automazione pompe Tecnopolo</t>
  </si>
  <si>
    <t xml:space="preserve">S1483V10</t>
  </si>
  <si>
    <t xml:space="preserve">Telecontrollo potabilizzatore Pescarella - Ardea</t>
  </si>
  <si>
    <t xml:space="preserve">S1483V11</t>
  </si>
  <si>
    <t xml:space="preserve">Fornitura ed installazione quadri Acea Drive Centrale Laurentina</t>
  </si>
  <si>
    <t xml:space="preserve">S1483V12</t>
  </si>
  <si>
    <t xml:space="preserve">Telecontrollo centro idrico Pisoniano</t>
  </si>
  <si>
    <t xml:space="preserve">S1818V01</t>
  </si>
  <si>
    <t xml:space="preserve">Antenne gateway Marina di Pisa e Tirrenia</t>
  </si>
  <si>
    <t xml:space="preserve">S1860Q01</t>
  </si>
  <si>
    <t xml:space="preserve">Quadro Matr: 25052 Tipo: Q.PLC.SOLL.S.ACQ.FN.16</t>
  </si>
  <si>
    <t xml:space="preserve">S1860Q05</t>
  </si>
  <si>
    <t xml:space="preserve">Quadri PLC nr. 7 centri idrici</t>
  </si>
  <si>
    <t xml:space="preserve">S1860Q07</t>
  </si>
  <si>
    <t xml:space="preserve">Quadri depuratore La Chiusa</t>
  </si>
  <si>
    <t xml:space="preserve">S1860V01</t>
  </si>
  <si>
    <t xml:space="preserve">Gestione sollevamento Sorgenti Acquoria</t>
  </si>
  <si>
    <t xml:space="preserve">S1860V02</t>
  </si>
  <si>
    <t xml:space="preserve">Fornitura Data Logger Depuratori Minori OdS 3</t>
  </si>
  <si>
    <t xml:space="preserve">S1860V03</t>
  </si>
  <si>
    <t xml:space="preserve">Fornitura pacchi batterie per Data Logger Depuratori Minori OdS 4</t>
  </si>
  <si>
    <t xml:space="preserve">S1860V04</t>
  </si>
  <si>
    <t xml:space="preserve">Installazione data logger</t>
  </si>
  <si>
    <t xml:space="preserve">S1860V05</t>
  </si>
  <si>
    <t xml:space="preserve">S1860V06</t>
  </si>
  <si>
    <t xml:space="preserve">Componenti per quadri telecontrollo Sofrel</t>
  </si>
  <si>
    <t xml:space="preserve">S1860V07</t>
  </si>
  <si>
    <t xml:space="preserve">Automazione e telecontrollo depuratore La Chiusa</t>
  </si>
  <si>
    <t xml:space="preserve">S1861Q01</t>
  </si>
  <si>
    <t xml:space="preserve">Quadro Matr. 24171 Tipo: Q.GSPA.3FN.125</t>
  </si>
  <si>
    <t xml:space="preserve">S1917Q01</t>
  </si>
  <si>
    <t xml:space="preserve">Quadro Matr: 25067 Tipo: Q.GGPP.3FN.160</t>
  </si>
  <si>
    <t xml:space="preserve">S1917Q02</t>
  </si>
  <si>
    <t xml:space="preserve">Quadro Matr: 25068 Tipo: Q.GPP.3FN.160</t>
  </si>
  <si>
    <t xml:space="preserve">S1937Q01</t>
  </si>
  <si>
    <t xml:space="preserve">Quadro Matr: 25158 Tipo: Q.MCC.D.G.3FN.1600</t>
  </si>
  <si>
    <t xml:space="preserve">S1937Q02</t>
  </si>
  <si>
    <t xml:space="preserve">Quadro Matr: 25159 Tipo: Q.PLC.D.G.3FN.63</t>
  </si>
  <si>
    <t xml:space="preserve">S1937Q03</t>
  </si>
  <si>
    <t xml:space="preserve">Quadro Matr: 25160 Tipo: Q.SPI.D.G.3FN.160</t>
  </si>
  <si>
    <t xml:space="preserve">S1937Q04</t>
  </si>
  <si>
    <t xml:space="preserve">Quadro Matr.: 26020 Tipo: Q.BP.UPS.3FN.63</t>
  </si>
  <si>
    <t xml:space="preserve">S1937Q05</t>
  </si>
  <si>
    <t xml:space="preserve">Quadro Matr.: 26021 Tipo: Q.CC.AF.SB.CC.192</t>
  </si>
  <si>
    <t xml:space="preserve">S1937Q06</t>
  </si>
  <si>
    <t xml:space="preserve">Quadro Matr.: 26022 Tipo: Q.CC.AF.MD.CC.96</t>
  </si>
  <si>
    <t xml:space="preserve">S1937V01</t>
  </si>
  <si>
    <t xml:space="preserve">PROGETTAZIONE QUADRI ELETTRICI MODULI CALLIGAN</t>
  </si>
  <si>
    <t xml:space="preserve">S1982ORD</t>
  </si>
  <si>
    <t xml:space="preserve">S1982STR</t>
  </si>
  <si>
    <t xml:space="preserve">MONTE ARGENTARIO GESTIONE ILLUMINAZIONE PUBBLICA COMUNALE - MANUTENZIONE STRAORDINARIA</t>
  </si>
  <si>
    <t xml:space="preserve">S1986Q01</t>
  </si>
  <si>
    <t xml:space="preserve">Quadro Matr: 26007 Tipo: Q.ILLPVDS.FN.25</t>
  </si>
  <si>
    <t xml:space="preserve">Economia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</si>
</sst>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-#,##0.00;\-"/>
    <numFmt numFmtId="166" formatCode="0.00%;[RED]\-0.00%;\-"/>
    <numFmt numFmtId="167" formatCode="0"/>
    <numFmt numFmtId="168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CE4E4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Commesse!G86</f>
        <v>1723909.9</v>
      </c>
      <c r="C5" s="6" t="n">
        <f aca="false">IF($B$5=0,"",B5/$B$5)</f>
        <v>1</v>
      </c>
    </row>
    <row r="6" customFormat="false" ht="15" hidden="false" customHeight="false" outlineLevel="0" collapsed="false">
      <c r="A6" s="4" t="s">
        <v>6</v>
      </c>
      <c r="B6" s="5" t="n">
        <f aca="false">Commesse!I86</f>
        <v>1341251.48</v>
      </c>
      <c r="C6" s="6" t="n">
        <f aca="false">IF($B$5=0,"",B6/$B$5)</f>
        <v>0.778028758927598</v>
      </c>
    </row>
    <row r="7" customFormat="false" ht="15" hidden="false" customHeight="false" outlineLevel="0" collapsed="false">
      <c r="A7" s="7" t="s">
        <v>7</v>
      </c>
      <c r="B7" s="8" t="n">
        <f aca="false">Commesse!K86</f>
        <v>382658.42</v>
      </c>
      <c r="C7" s="9" t="n">
        <f aca="false">IF($B$5=0,"",B7/$B$5)</f>
        <v>0.221971241072402</v>
      </c>
    </row>
    <row r="8" customFormat="false" ht="15" hidden="false" customHeight="false" outlineLevel="0" collapsed="false">
      <c r="A8" s="4" t="s">
        <v>8</v>
      </c>
      <c r="B8" s="5" t="n">
        <f aca="false">Commesse!N86</f>
        <v>1756792.8</v>
      </c>
      <c r="C8" s="6" t="n">
        <f aca="false">IF($B$5=0,"",B8/$B$5)</f>
        <v>1.01907460476908</v>
      </c>
    </row>
    <row r="9" customFormat="false" ht="15" hidden="false" customHeight="false" outlineLevel="0" collapsed="false">
      <c r="A9" s="4" t="s">
        <v>9</v>
      </c>
      <c r="B9" s="5" t="n">
        <f aca="false">Commesse!O86</f>
        <v>-32882.9</v>
      </c>
      <c r="C9" s="6" t="n">
        <f aca="false">IF($B$5=0,"",B9/$B$5)</f>
        <v>-0.0190746047690775</v>
      </c>
    </row>
    <row r="11" customFormat="false" ht="30" hidden="false" customHeight="true" outlineLevel="0" collapsed="false">
      <c r="A11" s="3" t="s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</row>
    <row r="12" customFormat="false" ht="15" hidden="false" customHeight="false" outlineLevel="0" collapsed="false">
      <c r="A12" s="4" t="s">
        <v>17</v>
      </c>
      <c r="B12" s="5" t="n">
        <f aca="false">SUMIFS(Commesse!$G$5:$G$85,Commesse!$A$5:$A$85,A12)</f>
        <v>1591488.46</v>
      </c>
      <c r="C12" s="5" t="n">
        <f aca="false">SUMIFS(Commesse!$I$5:$I$85,Commesse!$A$5:$A$85,A12)</f>
        <v>1301374.98</v>
      </c>
      <c r="D12" s="5" t="n">
        <f aca="false">B12-C12</f>
        <v>290113.48</v>
      </c>
      <c r="E12" s="6" t="n">
        <f aca="false">IF(B12=0,"",D12/B12)</f>
        <v>0.182290658896766</v>
      </c>
      <c r="F12" s="5" t="n">
        <f aca="false">SUMIFS(Commesse!$N$5:$N$85,Commesse!$A$5:$A$85,A12)</f>
        <v>1591488.46</v>
      </c>
      <c r="G12" s="10" t="n">
        <f aca="false">COUNTIF(Commesse!$A$5:$A$85,A12)</f>
        <v>32</v>
      </c>
    </row>
    <row r="13" customFormat="false" ht="15" hidden="false" customHeight="false" outlineLevel="0" collapsed="false">
      <c r="A13" s="4" t="s">
        <v>18</v>
      </c>
      <c r="B13" s="5" t="n">
        <f aca="false">SUMIFS(Commesse!$G$5:$G$85,Commesse!$A$5:$A$85,A13)</f>
        <v>132421.44</v>
      </c>
      <c r="C13" s="5" t="n">
        <f aca="false">SUMIFS(Commesse!$I$5:$I$85,Commesse!$A$5:$A$85,A13)</f>
        <v>39876.5</v>
      </c>
      <c r="D13" s="5" t="n">
        <f aca="false">B13-C13</f>
        <v>92544.94</v>
      </c>
      <c r="E13" s="6" t="n">
        <f aca="false">IF(B13=0,"",D13/B13)</f>
        <v>0.698866739404133</v>
      </c>
      <c r="F13" s="5" t="n">
        <f aca="false">SUMIFS(Commesse!$N$5:$N$85,Commesse!$A$5:$A$85,A13)</f>
        <v>165304.34</v>
      </c>
      <c r="G13" s="10" t="n">
        <f aca="false">COUNTIF(Commesse!$A$5:$A$85,A13)</f>
        <v>49</v>
      </c>
    </row>
    <row r="15" customFormat="false" ht="15" hidden="false" customHeight="false" outlineLevel="0" collapsed="false">
      <c r="A15" s="11" t="s">
        <v>19</v>
      </c>
    </row>
    <row r="16" customFormat="false" ht="15" hidden="false" customHeight="false" outlineLevel="0" collapsed="false">
      <c r="A16" s="4" t="s">
        <v>20</v>
      </c>
      <c r="B16" s="10" t="n">
        <f aca="false">COUNTA(Commesse!B5:B85)</f>
        <v>81</v>
      </c>
    </row>
    <row r="17" customFormat="false" ht="15" hidden="false" customHeight="false" outlineLevel="0" collapsed="false">
      <c r="A17" s="4" t="s">
        <v>21</v>
      </c>
      <c r="B17" s="10" t="n">
        <f aca="false">COUNTIF(Commesse!K5:K85,"&lt;0")</f>
        <v>6</v>
      </c>
    </row>
    <row r="18" customFormat="false" ht="15" hidden="false" customHeight="false" outlineLevel="0" collapsed="false">
      <c r="A18" s="4" t="s">
        <v>22</v>
      </c>
      <c r="B18" s="5" t="n">
        <f aca="false">SUMIF(Commesse!K5:K85,"&lt;0")</f>
        <v>-155115.83</v>
      </c>
    </row>
    <row r="19" customFormat="false" ht="15" hidden="false" customHeight="false" outlineLevel="0" collapsed="false">
      <c r="A19" s="4" t="s">
        <v>23</v>
      </c>
      <c r="B19" s="10" t="n">
        <f aca="false">COUNTA(Dettaglio!C5:C126)</f>
        <v>122</v>
      </c>
    </row>
    <row r="20" customFormat="false" ht="15" hidden="false" customHeight="false" outlineLevel="0" collapsed="false">
      <c r="A20" s="4" t="s">
        <v>24</v>
      </c>
      <c r="B20" s="12" t="str">
        <f aca="false">IF(AND(ROUND(Dettaglio!I127-Commesse!G86,2)=0,ROUND(Dettaglio!J127-Commesse!I86,2)=0,ROUND(Dettaglio!M127-Commesse!N86,2)=0),"OK","ERRORE")</f>
        <v>OK</v>
      </c>
    </row>
    <row r="22" customFormat="false" ht="15" hidden="false" customHeight="false" outlineLevel="0" collapsed="false">
      <c r="A22" s="11" t="s">
        <v>25</v>
      </c>
    </row>
    <row r="23" customFormat="false" ht="15" hidden="false" customHeight="false" outlineLevel="0" collapsed="false">
      <c r="A23" s="13" t="s">
        <v>26</v>
      </c>
    </row>
    <row r="24" customFormat="false" ht="15" hidden="false" customHeight="false" outlineLevel="0" collapsed="false">
      <c r="A24" s="14" t="s">
        <v>27</v>
      </c>
    </row>
    <row r="25" customFormat="false" ht="15" hidden="false" customHeight="false" outlineLevel="0" collapsed="false">
      <c r="A25" s="1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55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3" min="12" style="0" width="9"/>
    <col collapsed="false" customWidth="true" hidden="false" outlineLevel="0" max="15" min="14" style="0" width="15"/>
    <col collapsed="false" customWidth="true" hidden="false" outlineLevel="0" max="16" min="16" style="0" width="9"/>
    <col collapsed="false" customWidth="true" hidden="false" outlineLevel="0" max="17" min="17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29</v>
      </c>
    </row>
    <row r="4" customFormat="false" ht="30" hidden="false" customHeight="tru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11</v>
      </c>
      <c r="H4" s="3" t="s">
        <v>36</v>
      </c>
      <c r="I4" s="3" t="s">
        <v>37</v>
      </c>
      <c r="J4" s="3" t="s">
        <v>38</v>
      </c>
      <c r="K4" s="3" t="s">
        <v>13</v>
      </c>
      <c r="L4" s="3" t="s">
        <v>39</v>
      </c>
      <c r="M4" s="3" t="s">
        <v>14</v>
      </c>
      <c r="N4" s="3" t="s">
        <v>15</v>
      </c>
      <c r="O4" s="3" t="s">
        <v>40</v>
      </c>
      <c r="P4" s="3" t="s">
        <v>41</v>
      </c>
      <c r="Q4" s="3" t="s">
        <v>42</v>
      </c>
    </row>
    <row r="5" customFormat="false" ht="15" hidden="false" customHeight="false" outlineLevel="0" collapsed="false">
      <c r="A5" s="4" t="s">
        <v>17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5" t="n">
        <f aca="false">SUMIFS(Dettaglio!$I$5:$I$126,Dettaglio!$B$5:$B$126,B5)</f>
        <v>56408.45</v>
      </c>
      <c r="H5" s="6" t="n">
        <f aca="false">IF($G$86=0,"",G5/$G$86)</f>
        <v>0.032721228644258</v>
      </c>
      <c r="I5" s="5" t="n">
        <f aca="false">SUMIFS(Dettaglio!$J$5:$J$126,Dettaglio!$B$5:$B$126,B5)</f>
        <v>16415.78</v>
      </c>
      <c r="J5" s="6" t="n">
        <f aca="false">IF($I$86=0,"",I5/$I$86)</f>
        <v>0.0122391514527909</v>
      </c>
      <c r="K5" s="5" t="n">
        <f aca="false">G5-I5</f>
        <v>39992.67</v>
      </c>
      <c r="L5" s="6" t="n">
        <f aca="false">IF($K$86=0,"",K5/$K$86)</f>
        <v>0.104512713976083</v>
      </c>
      <c r="M5" s="6" t="n">
        <f aca="false">IF(G5=0,"",K5/G5)</f>
        <v>0.70898367177258</v>
      </c>
      <c r="N5" s="5" t="n">
        <f aca="false">SUMIFS(Dettaglio!$M$5:$M$126,Dettaglio!$B$5:$B$126,B5)</f>
        <v>56408.45</v>
      </c>
      <c r="O5" s="5" t="n">
        <f aca="false">G5-N5</f>
        <v>0</v>
      </c>
      <c r="P5" s="10" t="n">
        <f aca="false">COUNTIFS(Dettaglio!$B$5:$B$126,B5,Dettaglio!$D$5:$D$126,"Quadro")+COUNTIFS(Dettaglio!$B$5:$B$126,B5,Dettaglio!$D$5:$D$126,"Variante")</f>
        <v>2</v>
      </c>
      <c r="Q5" s="4" t="s">
        <v>48</v>
      </c>
    </row>
    <row r="6" customFormat="false" ht="15" hidden="false" customHeight="false" outlineLevel="0" collapsed="false">
      <c r="A6" s="4" t="s">
        <v>17</v>
      </c>
      <c r="B6" s="4" t="s">
        <v>49</v>
      </c>
      <c r="C6" s="4" t="s">
        <v>50</v>
      </c>
      <c r="D6" s="4" t="s">
        <v>45</v>
      </c>
      <c r="E6" s="4" t="s">
        <v>46</v>
      </c>
      <c r="F6" s="4" t="s">
        <v>47</v>
      </c>
      <c r="G6" s="5" t="n">
        <f aca="false">SUMIFS(Dettaglio!$I$5:$I$126,Dettaglio!$B$5:$B$126,B6)</f>
        <v>78988.49</v>
      </c>
      <c r="H6" s="6" t="n">
        <f aca="false">IF($G$86=0,"",G6/$G$86)</f>
        <v>0.0458193841801129</v>
      </c>
      <c r="I6" s="5" t="n">
        <f aca="false">SUMIFS(Dettaglio!$J$5:$J$126,Dettaglio!$B$5:$B$126,B6)</f>
        <v>43665.83</v>
      </c>
      <c r="J6" s="6" t="n">
        <f aca="false">IF($I$86=0,"",I6/$I$86)</f>
        <v>0.0325560349055496</v>
      </c>
      <c r="K6" s="5" t="n">
        <f aca="false">G6-I6</f>
        <v>35322.66</v>
      </c>
      <c r="L6" s="6" t="n">
        <f aca="false">IF($K$86=0,"",K6/$K$86)</f>
        <v>0.0923085920858608</v>
      </c>
      <c r="M6" s="6" t="n">
        <f aca="false">IF(G6=0,"",K6/G6)</f>
        <v>0.447187431991674</v>
      </c>
      <c r="N6" s="5" t="n">
        <f aca="false">SUMIFS(Dettaglio!$M$5:$M$126,Dettaglio!$B$5:$B$126,B6)</f>
        <v>78988.49</v>
      </c>
      <c r="O6" s="5" t="n">
        <f aca="false">G6-N6</f>
        <v>0</v>
      </c>
      <c r="P6" s="10" t="n">
        <f aca="false">COUNTIFS(Dettaglio!$B$5:$B$126,B6,Dettaglio!$D$5:$D$126,"Quadro")+COUNTIFS(Dettaglio!$B$5:$B$126,B6,Dettaglio!$D$5:$D$126,"Variante")</f>
        <v>4</v>
      </c>
      <c r="Q6" s="4" t="s">
        <v>48</v>
      </c>
    </row>
    <row r="7" customFormat="false" ht="15" hidden="false" customHeight="false" outlineLevel="0" collapsed="false">
      <c r="A7" s="4" t="s">
        <v>17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47</v>
      </c>
      <c r="G7" s="5" t="n">
        <f aca="false">SUMIFS(Dettaglio!$I$5:$I$126,Dettaglio!$B$5:$B$126,B7)</f>
        <v>0</v>
      </c>
      <c r="H7" s="6" t="n">
        <f aca="false">IF($G$86=0,"",G7/$G$86)</f>
        <v>0</v>
      </c>
      <c r="I7" s="5" t="n">
        <f aca="false">SUMIFS(Dettaglio!$J$5:$J$126,Dettaglio!$B$5:$B$126,B7)</f>
        <v>1225.38</v>
      </c>
      <c r="J7" s="6" t="n">
        <f aca="false">IF($I$86=0,"",I7/$I$86)</f>
        <v>0.000913609429903481</v>
      </c>
      <c r="K7" s="5" t="n">
        <f aca="false">G7-I7</f>
        <v>-1225.38</v>
      </c>
      <c r="L7" s="6" t="n">
        <f aca="false">IF($K$86=0,"",K7/$K$86)</f>
        <v>-0.00320228155439517</v>
      </c>
      <c r="M7" s="6" t="str">
        <f aca="false">IF(G7=0,"",K7/G7)</f>
        <v/>
      </c>
      <c r="N7" s="5" t="n">
        <f aca="false">SUMIFS(Dettaglio!$M$5:$M$126,Dettaglio!$B$5:$B$126,B7)</f>
        <v>0</v>
      </c>
      <c r="O7" s="5" t="n">
        <f aca="false">G7-N7</f>
        <v>0</v>
      </c>
      <c r="P7" s="10" t="n">
        <f aca="false">COUNTIFS(Dettaglio!$B$5:$B$126,B7,Dettaglio!$D$5:$D$126,"Quadro")+COUNTIFS(Dettaglio!$B$5:$B$126,B7,Dettaglio!$D$5:$D$126,"Variante")</f>
        <v>1</v>
      </c>
      <c r="Q7" s="4" t="s">
        <v>48</v>
      </c>
    </row>
    <row r="8" customFormat="false" ht="15" hidden="false" customHeight="false" outlineLevel="0" collapsed="false">
      <c r="A8" s="4" t="s">
        <v>17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5" t="n">
        <f aca="false">SUMIFS(Dettaglio!$I$5:$I$126,Dettaglio!$B$5:$B$126,B8)</f>
        <v>0</v>
      </c>
      <c r="H8" s="6" t="n">
        <f aca="false">IF($G$86=0,"",G8/$G$86)</f>
        <v>0</v>
      </c>
      <c r="I8" s="5" t="n">
        <f aca="false">SUMIFS(Dettaglio!$J$5:$J$126,Dettaglio!$B$5:$B$126,B8)</f>
        <v>1367.26</v>
      </c>
      <c r="J8" s="6" t="n">
        <f aca="false">IF($I$86=0,"",I8/$I$86)</f>
        <v>0.00101939123302962</v>
      </c>
      <c r="K8" s="5" t="n">
        <f aca="false">G8-I8</f>
        <v>-1367.26</v>
      </c>
      <c r="L8" s="6" t="n">
        <f aca="false">IF($K$86=0,"",K8/$K$86)</f>
        <v>-0.00357305609530296</v>
      </c>
      <c r="M8" s="6" t="str">
        <f aca="false">IF(G8=0,"",K8/G8)</f>
        <v/>
      </c>
      <c r="N8" s="5" t="n">
        <f aca="false">SUMIFS(Dettaglio!$M$5:$M$126,Dettaglio!$B$5:$B$126,B8)</f>
        <v>0</v>
      </c>
      <c r="O8" s="5" t="n">
        <f aca="false">G8-N8</f>
        <v>0</v>
      </c>
      <c r="P8" s="10" t="n">
        <f aca="false">COUNTIFS(Dettaglio!$B$5:$B$126,B8,Dettaglio!$D$5:$D$126,"Quadro")+COUNTIFS(Dettaglio!$B$5:$B$126,B8,Dettaglio!$D$5:$D$126,"Variante")</f>
        <v>0</v>
      </c>
      <c r="Q8" s="4" t="s">
        <v>48</v>
      </c>
    </row>
    <row r="9" customFormat="false" ht="15" hidden="false" customHeight="false" outlineLevel="0" collapsed="false">
      <c r="A9" s="4" t="s">
        <v>17</v>
      </c>
      <c r="B9" s="4" t="s">
        <v>60</v>
      </c>
      <c r="C9" s="4" t="s">
        <v>61</v>
      </c>
      <c r="D9" s="4" t="s">
        <v>53</v>
      </c>
      <c r="E9" s="4" t="s">
        <v>54</v>
      </c>
      <c r="F9" s="4" t="s">
        <v>59</v>
      </c>
      <c r="G9" s="5" t="n">
        <f aca="false">SUMIFS(Dettaglio!$I$5:$I$126,Dettaglio!$B$5:$B$126,B9)</f>
        <v>153917.88</v>
      </c>
      <c r="H9" s="6" t="n">
        <f aca="false">IF($G$86=0,"",G9/$G$86)</f>
        <v>0.0892841789469392</v>
      </c>
      <c r="I9" s="5" t="n">
        <f aca="false">SUMIFS(Dettaglio!$J$5:$J$126,Dettaglio!$B$5:$B$126,B9)</f>
        <v>70517.53</v>
      </c>
      <c r="J9" s="6" t="n">
        <f aca="false">IF($I$86=0,"",I9/$I$86)</f>
        <v>0.0525759196179974</v>
      </c>
      <c r="K9" s="5" t="n">
        <f aca="false">G9-I9</f>
        <v>83400.35</v>
      </c>
      <c r="L9" s="6" t="n">
        <f aca="false">IF($K$86=0,"",K9/$K$86)</f>
        <v>0.217949862438673</v>
      </c>
      <c r="M9" s="6" t="n">
        <f aca="false">IF(G9=0,"",K9/G9)</f>
        <v>0.54184965385438</v>
      </c>
      <c r="N9" s="5" t="n">
        <f aca="false">SUMIFS(Dettaglio!$M$5:$M$126,Dettaglio!$B$5:$B$126,B9)</f>
        <v>153917.88</v>
      </c>
      <c r="O9" s="5" t="n">
        <f aca="false">G9-N9</f>
        <v>0</v>
      </c>
      <c r="P9" s="10" t="n">
        <f aca="false">COUNTIFS(Dettaglio!$B$5:$B$126,B9,Dettaglio!$D$5:$D$126,"Quadro")+COUNTIFS(Dettaglio!$B$5:$B$126,B9,Dettaglio!$D$5:$D$126,"Variante")</f>
        <v>12</v>
      </c>
      <c r="Q9" s="4" t="s">
        <v>48</v>
      </c>
    </row>
    <row r="10" customFormat="false" ht="15" hidden="false" customHeight="false" outlineLevel="0" collapsed="false">
      <c r="A10" s="4" t="s">
        <v>17</v>
      </c>
      <c r="B10" s="4" t="s">
        <v>62</v>
      </c>
      <c r="C10" s="4" t="s">
        <v>63</v>
      </c>
      <c r="D10" s="4" t="s">
        <v>64</v>
      </c>
      <c r="E10" s="4" t="s">
        <v>65</v>
      </c>
      <c r="F10" s="4" t="s">
        <v>59</v>
      </c>
      <c r="G10" s="5" t="n">
        <f aca="false">SUMIFS(Dettaglio!$I$5:$I$126,Dettaglio!$B$5:$B$126,B10)</f>
        <v>4909.32</v>
      </c>
      <c r="H10" s="6" t="n">
        <f aca="false">IF($G$86=0,"",G10/$G$86)</f>
        <v>0.00284778224198376</v>
      </c>
      <c r="I10" s="5" t="n">
        <f aca="false">SUMIFS(Dettaglio!$J$5:$J$126,Dettaglio!$B$5:$B$126,B10)</f>
        <v>0</v>
      </c>
      <c r="J10" s="6" t="n">
        <f aca="false">IF($I$86=0,"",I10/$I$86)</f>
        <v>0</v>
      </c>
      <c r="K10" s="5" t="n">
        <f aca="false">G10-I10</f>
        <v>4909.32</v>
      </c>
      <c r="L10" s="6" t="n">
        <f aca="false">IF($K$86=0,"",K10/$K$86)</f>
        <v>0.0128295099321217</v>
      </c>
      <c r="M10" s="6" t="n">
        <f aca="false">IF(G10=0,"",K10/G10)</f>
        <v>1</v>
      </c>
      <c r="N10" s="5" t="n">
        <f aca="false">SUMIFS(Dettaglio!$M$5:$M$126,Dettaglio!$B$5:$B$126,B10)</f>
        <v>4909.32</v>
      </c>
      <c r="O10" s="5" t="n">
        <f aca="false">G10-N10</f>
        <v>0</v>
      </c>
      <c r="P10" s="10" t="n">
        <f aca="false">COUNTIFS(Dettaglio!$B$5:$B$126,B10,Dettaglio!$D$5:$D$126,"Quadro")+COUNTIFS(Dettaglio!$B$5:$B$126,B10,Dettaglio!$D$5:$D$126,"Variante")</f>
        <v>1</v>
      </c>
      <c r="Q10" s="4" t="s">
        <v>48</v>
      </c>
    </row>
    <row r="11" customFormat="false" ht="15" hidden="false" customHeight="false" outlineLevel="0" collapsed="false">
      <c r="A11" s="4" t="s">
        <v>17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 t="n">
        <f aca="false">SUMIFS(Dettaglio!$I$5:$I$126,Dettaglio!$B$5:$B$126,B11)</f>
        <v>20794.48</v>
      </c>
      <c r="H11" s="6" t="n">
        <f aca="false">IF($G$86=0,"",G11/$G$86)</f>
        <v>0.0120623937480723</v>
      </c>
      <c r="I11" s="5" t="n">
        <f aca="false">SUMIFS(Dettaglio!$J$5:$J$126,Dettaglio!$B$5:$B$126,B11)</f>
        <v>67.82</v>
      </c>
      <c r="J11" s="6" t="n">
        <f aca="false">IF($I$86=0,"",I11/$I$86)</f>
        <v>5.05647158726714E-005</v>
      </c>
      <c r="K11" s="5" t="n">
        <f aca="false">G11-I11</f>
        <v>20726.66</v>
      </c>
      <c r="L11" s="6" t="n">
        <f aca="false">IF($K$86=0,"",K11/$K$86)</f>
        <v>0.0541649129267821</v>
      </c>
      <c r="M11" s="6" t="n">
        <f aca="false">IF(G11=0,"",K11/G11)</f>
        <v>0.99673855754027</v>
      </c>
      <c r="N11" s="5" t="n">
        <f aca="false">SUMIFS(Dettaglio!$M$5:$M$126,Dettaglio!$B$5:$B$126,B11)</f>
        <v>20794.48</v>
      </c>
      <c r="O11" s="5" t="n">
        <f aca="false">G11-N11</f>
        <v>0</v>
      </c>
      <c r="P11" s="10" t="n">
        <f aca="false">COUNTIFS(Dettaglio!$B$5:$B$126,B11,Dettaglio!$D$5:$D$126,"Quadro")+COUNTIFS(Dettaglio!$B$5:$B$126,B11,Dettaglio!$D$5:$D$126,"Variante")</f>
        <v>0</v>
      </c>
      <c r="Q11" s="4" t="s">
        <v>48</v>
      </c>
    </row>
    <row r="12" customFormat="false" ht="15" hidden="false" customHeight="false" outlineLevel="0" collapsed="false">
      <c r="A12" s="4" t="s">
        <v>17</v>
      </c>
      <c r="B12" s="4" t="s">
        <v>71</v>
      </c>
      <c r="C12" s="4" t="s">
        <v>72</v>
      </c>
      <c r="D12" s="4" t="s">
        <v>53</v>
      </c>
      <c r="E12" s="4" t="s">
        <v>54</v>
      </c>
      <c r="F12" s="4" t="s">
        <v>47</v>
      </c>
      <c r="G12" s="5" t="n">
        <f aca="false">SUMIFS(Dettaglio!$I$5:$I$126,Dettaglio!$B$5:$B$126,B12)</f>
        <v>202199.67</v>
      </c>
      <c r="H12" s="6" t="n">
        <f aca="false">IF($G$86=0,"",G12/$G$86)</f>
        <v>0.117291321315575</v>
      </c>
      <c r="I12" s="5" t="n">
        <f aca="false">SUMIFS(Dettaglio!$J$5:$J$126,Dettaglio!$B$5:$B$126,B12)</f>
        <v>319565.61</v>
      </c>
      <c r="J12" s="6" t="n">
        <f aca="false">IF($I$86=0,"",I12/$I$86)</f>
        <v>0.238259278565717</v>
      </c>
      <c r="K12" s="5" t="n">
        <f aca="false">G12-I12</f>
        <v>-117365.94</v>
      </c>
      <c r="L12" s="6" t="n">
        <f aca="false">IF($K$86=0,"",K12/$K$86)</f>
        <v>-0.306712027922971</v>
      </c>
      <c r="M12" s="6" t="n">
        <f aca="false">IF(G12=0,"",K12/G12)</f>
        <v>-0.580445754436691</v>
      </c>
      <c r="N12" s="5" t="n">
        <f aca="false">SUMIFS(Dettaglio!$M$5:$M$126,Dettaglio!$B$5:$B$126,B12)</f>
        <v>202199.67</v>
      </c>
      <c r="O12" s="5" t="n">
        <f aca="false">G12-N12</f>
        <v>0</v>
      </c>
      <c r="P12" s="10" t="n">
        <f aca="false">COUNTIFS(Dettaglio!$B$5:$B$126,B12,Dettaglio!$D$5:$D$126,"Quadro")+COUNTIFS(Dettaglio!$B$5:$B$126,B12,Dettaglio!$D$5:$D$126,"Variante")</f>
        <v>10</v>
      </c>
      <c r="Q12" s="4" t="s">
        <v>48</v>
      </c>
    </row>
    <row r="13" customFormat="false" ht="15" hidden="false" customHeight="false" outlineLevel="0" collapsed="false">
      <c r="A13" s="4" t="s">
        <v>17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59</v>
      </c>
      <c r="G13" s="5" t="n">
        <f aca="false">SUMIFS(Dettaglio!$I$5:$I$126,Dettaglio!$B$5:$B$126,B13)</f>
        <v>50900</v>
      </c>
      <c r="H13" s="6" t="n">
        <f aca="false">IF($G$86=0,"",G13/$G$86)</f>
        <v>0.0295259050371484</v>
      </c>
      <c r="I13" s="5" t="n">
        <f aca="false">SUMIFS(Dettaglio!$J$5:$J$126,Dettaglio!$B$5:$B$126,B13)</f>
        <v>23663.66</v>
      </c>
      <c r="J13" s="6" t="n">
        <f aca="false">IF($I$86=0,"",I13/$I$86)</f>
        <v>0.0176429702802639</v>
      </c>
      <c r="K13" s="5" t="n">
        <f aca="false">G13-I13</f>
        <v>27236.34</v>
      </c>
      <c r="L13" s="6" t="n">
        <f aca="false">IF($K$86=0,"",K13/$K$86)</f>
        <v>0.0711766384233751</v>
      </c>
      <c r="M13" s="6" t="n">
        <f aca="false">IF(G13=0,"",K13/G13)</f>
        <v>0.535095088408644</v>
      </c>
      <c r="N13" s="5" t="n">
        <f aca="false">SUMIFS(Dettaglio!$M$5:$M$126,Dettaglio!$B$5:$B$126,B13)</f>
        <v>50900</v>
      </c>
      <c r="O13" s="5" t="n">
        <f aca="false">G13-N13</f>
        <v>0</v>
      </c>
      <c r="P13" s="10" t="n">
        <f aca="false">COUNTIFS(Dettaglio!$B$5:$B$126,B13,Dettaglio!$D$5:$D$126,"Quadro")+COUNTIFS(Dettaglio!$B$5:$B$126,B13,Dettaglio!$D$5:$D$126,"Variante")</f>
        <v>1</v>
      </c>
      <c r="Q13" s="4" t="s">
        <v>48</v>
      </c>
    </row>
    <row r="14" customFormat="false" ht="15" hidden="false" customHeight="false" outlineLevel="0" collapsed="false">
      <c r="A14" s="4" t="s">
        <v>17</v>
      </c>
      <c r="B14" s="4" t="s">
        <v>77</v>
      </c>
      <c r="C14" s="4" t="s">
        <v>78</v>
      </c>
      <c r="D14" s="4" t="s">
        <v>79</v>
      </c>
      <c r="E14" s="4" t="s">
        <v>80</v>
      </c>
      <c r="F14" s="4" t="s">
        <v>59</v>
      </c>
      <c r="G14" s="5" t="n">
        <f aca="false">SUMIFS(Dettaglio!$I$5:$I$126,Dettaglio!$B$5:$B$126,B14)</f>
        <v>56374.08</v>
      </c>
      <c r="H14" s="6" t="n">
        <f aca="false">IF($G$86=0,"",G14/$G$86)</f>
        <v>0.032701291407399</v>
      </c>
      <c r="I14" s="5" t="n">
        <f aca="false">SUMIFS(Dettaglio!$J$5:$J$126,Dettaglio!$B$5:$B$126,B14)</f>
        <v>36141.11</v>
      </c>
      <c r="J14" s="6" t="n">
        <f aca="false">IF($I$86=0,"",I14/$I$86)</f>
        <v>0.026945811832394</v>
      </c>
      <c r="K14" s="5" t="n">
        <f aca="false">G14-I14</f>
        <v>20232.97</v>
      </c>
      <c r="L14" s="6" t="n">
        <f aca="false">IF($K$86=0,"",K14/$K$86)</f>
        <v>0.0528747544611719</v>
      </c>
      <c r="M14" s="6" t="n">
        <f aca="false">IF(G14=0,"",K14/G14)</f>
        <v>0.35890554666258</v>
      </c>
      <c r="N14" s="5" t="n">
        <f aca="false">SUMIFS(Dettaglio!$M$5:$M$126,Dettaglio!$B$5:$B$126,B14)</f>
        <v>56374.08</v>
      </c>
      <c r="O14" s="5" t="n">
        <f aca="false">G14-N14</f>
        <v>0</v>
      </c>
      <c r="P14" s="10" t="n">
        <f aca="false">COUNTIFS(Dettaglio!$B$5:$B$126,B14,Dettaglio!$D$5:$D$126,"Quadro")+COUNTIFS(Dettaglio!$B$5:$B$126,B14,Dettaglio!$D$5:$D$126,"Variante")</f>
        <v>0</v>
      </c>
      <c r="Q14" s="4"/>
    </row>
    <row r="15" customFormat="false" ht="15" hidden="false" customHeight="false" outlineLevel="0" collapsed="false">
      <c r="A15" s="4" t="s">
        <v>17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59</v>
      </c>
      <c r="G15" s="5" t="n">
        <f aca="false">SUMIFS(Dettaglio!$I$5:$I$126,Dettaglio!$B$5:$B$126,B15)</f>
        <v>57217</v>
      </c>
      <c r="H15" s="6" t="n">
        <f aca="false">IF($G$86=0,"",G15/$G$86)</f>
        <v>0.0331902496760417</v>
      </c>
      <c r="I15" s="5" t="n">
        <f aca="false">SUMIFS(Dettaglio!$J$5:$J$126,Dettaglio!$B$5:$B$126,B15)</f>
        <v>20578.35</v>
      </c>
      <c r="J15" s="6" t="n">
        <f aca="false">IF($I$86=0,"",I15/$I$86)</f>
        <v>0.0153426484942257</v>
      </c>
      <c r="K15" s="5" t="n">
        <f aca="false">G15-I15</f>
        <v>36638.65</v>
      </c>
      <c r="L15" s="6" t="n">
        <f aca="false">IF($K$86=0,"",K15/$K$86)</f>
        <v>0.0957476644575076</v>
      </c>
      <c r="M15" s="6" t="n">
        <f aca="false">IF(G15=0,"",K15/G15)</f>
        <v>0.640345526679134</v>
      </c>
      <c r="N15" s="5" t="n">
        <f aca="false">SUMIFS(Dettaglio!$M$5:$M$126,Dettaglio!$B$5:$B$126,B15)</f>
        <v>57217</v>
      </c>
      <c r="O15" s="5" t="n">
        <f aca="false">G15-N15</f>
        <v>0</v>
      </c>
      <c r="P15" s="10" t="n">
        <f aca="false">COUNTIFS(Dettaglio!$B$5:$B$126,B15,Dettaglio!$D$5:$D$126,"Quadro")+COUNTIFS(Dettaglio!$B$5:$B$126,B15,Dettaglio!$D$5:$D$126,"Variante")</f>
        <v>0</v>
      </c>
      <c r="Q15" s="4"/>
    </row>
    <row r="16" customFormat="false" ht="15" hidden="false" customHeight="false" outlineLevel="0" collapsed="false">
      <c r="A16" s="4" t="s">
        <v>17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59</v>
      </c>
      <c r="G16" s="5" t="n">
        <f aca="false">SUMIFS(Dettaglio!$I$5:$I$126,Dettaglio!$B$5:$B$126,B16)</f>
        <v>1396.2</v>
      </c>
      <c r="H16" s="6" t="n">
        <f aca="false">IF($G$86=0,"",G16/$G$86)</f>
        <v>0.000809903116166338</v>
      </c>
      <c r="I16" s="5" t="n">
        <f aca="false">SUMIFS(Dettaglio!$J$5:$J$126,Dettaglio!$B$5:$B$126,B16)</f>
        <v>623.83</v>
      </c>
      <c r="J16" s="6" t="n">
        <f aca="false">IF($I$86=0,"",I16/$I$86)</f>
        <v>0.000465110390782197</v>
      </c>
      <c r="K16" s="5" t="n">
        <f aca="false">G16-I16</f>
        <v>772.37</v>
      </c>
      <c r="L16" s="6" t="n">
        <f aca="false">IF($K$86=0,"",K16/$K$86)</f>
        <v>0.00201843200000669</v>
      </c>
      <c r="M16" s="6" t="n">
        <f aca="false">IF(G16=0,"",K16/G16)</f>
        <v>0.553194384758631</v>
      </c>
      <c r="N16" s="5" t="n">
        <f aca="false">SUMIFS(Dettaglio!$M$5:$M$126,Dettaglio!$B$5:$B$126,B16)</f>
        <v>1396.2</v>
      </c>
      <c r="O16" s="5" t="n">
        <f aca="false">G16-N16</f>
        <v>0</v>
      </c>
      <c r="P16" s="10" t="n">
        <f aca="false">COUNTIFS(Dettaglio!$B$5:$B$126,B16,Dettaglio!$D$5:$D$126,"Quadro")+COUNTIFS(Dettaglio!$B$5:$B$126,B16,Dettaglio!$D$5:$D$126,"Variante")</f>
        <v>0</v>
      </c>
      <c r="Q16" s="4" t="s">
        <v>48</v>
      </c>
    </row>
    <row r="17" customFormat="false" ht="15" hidden="false" customHeight="false" outlineLevel="0" collapsed="false">
      <c r="A17" s="4" t="s">
        <v>17</v>
      </c>
      <c r="B17" s="4" t="s">
        <v>89</v>
      </c>
      <c r="C17" s="4" t="s">
        <v>90</v>
      </c>
      <c r="D17" s="4" t="s">
        <v>79</v>
      </c>
      <c r="E17" s="4" t="s">
        <v>80</v>
      </c>
      <c r="F17" s="4" t="s">
        <v>59</v>
      </c>
      <c r="G17" s="5" t="n">
        <f aca="false">SUMIFS(Dettaglio!$I$5:$I$126,Dettaglio!$B$5:$B$126,B17)</f>
        <v>3850</v>
      </c>
      <c r="H17" s="6" t="n">
        <f aca="false">IF($G$86=0,"",G17/$G$86)</f>
        <v>0.0022332953711792</v>
      </c>
      <c r="I17" s="5" t="n">
        <f aca="false">SUMIFS(Dettaglio!$J$5:$J$126,Dettaglio!$B$5:$B$126,B17)</f>
        <v>2247.1</v>
      </c>
      <c r="J17" s="6" t="n">
        <f aca="false">IF($I$86=0,"",I17/$I$86)</f>
        <v>0.00167537559772161</v>
      </c>
      <c r="K17" s="5" t="n">
        <f aca="false">G17-I17</f>
        <v>1602.9</v>
      </c>
      <c r="L17" s="6" t="n">
        <f aca="false">IF($K$86=0,"",K17/$K$86)</f>
        <v>0.00418885333818083</v>
      </c>
      <c r="M17" s="6" t="n">
        <f aca="false">IF(G17=0,"",K17/G17)</f>
        <v>0.416337662337662</v>
      </c>
      <c r="N17" s="5" t="n">
        <f aca="false">SUMIFS(Dettaglio!$M$5:$M$126,Dettaglio!$B$5:$B$126,B17)</f>
        <v>3850</v>
      </c>
      <c r="O17" s="5" t="n">
        <f aca="false">G17-N17</f>
        <v>0</v>
      </c>
      <c r="P17" s="10" t="n">
        <f aca="false">COUNTIFS(Dettaglio!$B$5:$B$126,B17,Dettaglio!$D$5:$D$126,"Quadro")+COUNTIFS(Dettaglio!$B$5:$B$126,B17,Dettaglio!$D$5:$D$126,"Variante")</f>
        <v>0</v>
      </c>
      <c r="Q17" s="4"/>
    </row>
    <row r="18" customFormat="false" ht="15" hidden="false" customHeight="false" outlineLevel="0" collapsed="false">
      <c r="A18" s="4" t="s">
        <v>17</v>
      </c>
      <c r="B18" s="4" t="s">
        <v>91</v>
      </c>
      <c r="C18" s="4" t="s">
        <v>92</v>
      </c>
      <c r="D18" s="4" t="s">
        <v>57</v>
      </c>
      <c r="E18" s="4" t="s">
        <v>58</v>
      </c>
      <c r="F18" s="4" t="s">
        <v>47</v>
      </c>
      <c r="G18" s="5" t="n">
        <f aca="false">SUMIFS(Dettaglio!$I$5:$I$126,Dettaglio!$B$5:$B$126,B18)</f>
        <v>49510.25</v>
      </c>
      <c r="H18" s="6" t="n">
        <f aca="false">IF($G$86=0,"",G18/$G$86)</f>
        <v>0.0287197434158247</v>
      </c>
      <c r="I18" s="5" t="n">
        <f aca="false">SUMIFS(Dettaglio!$J$5:$J$126,Dettaglio!$B$5:$B$126,B18)</f>
        <v>22161.3</v>
      </c>
      <c r="J18" s="6" t="n">
        <f aca="false">IF($I$86=0,"",I18/$I$86)</f>
        <v>0.0165228522245508</v>
      </c>
      <c r="K18" s="5" t="n">
        <f aca="false">G18-I18</f>
        <v>27348.95</v>
      </c>
      <c r="L18" s="6" t="n">
        <f aca="false">IF($K$86=0,"",K18/$K$86)</f>
        <v>0.0714709217688193</v>
      </c>
      <c r="M18" s="6" t="n">
        <f aca="false">IF(G18=0,"",K18/G18)</f>
        <v>0.552389656687252</v>
      </c>
      <c r="N18" s="5" t="n">
        <f aca="false">SUMIFS(Dettaglio!$M$5:$M$126,Dettaglio!$B$5:$B$126,B18)</f>
        <v>49510.25</v>
      </c>
      <c r="O18" s="5" t="n">
        <f aca="false">G18-N18</f>
        <v>0</v>
      </c>
      <c r="P18" s="10" t="n">
        <f aca="false">COUNTIFS(Dettaglio!$B$5:$B$126,B18,Dettaglio!$D$5:$D$126,"Quadro")+COUNTIFS(Dettaglio!$B$5:$B$126,B18,Dettaglio!$D$5:$D$126,"Variante")</f>
        <v>0</v>
      </c>
      <c r="Q18" s="4" t="s">
        <v>48</v>
      </c>
    </row>
    <row r="19" customFormat="false" ht="15" hidden="false" customHeight="false" outlineLevel="0" collapsed="false">
      <c r="A19" s="4" t="s">
        <v>17</v>
      </c>
      <c r="B19" s="4" t="s">
        <v>93</v>
      </c>
      <c r="C19" s="4" t="s">
        <v>94</v>
      </c>
      <c r="D19" s="4" t="s">
        <v>79</v>
      </c>
      <c r="E19" s="4" t="s">
        <v>80</v>
      </c>
      <c r="F19" s="4" t="s">
        <v>59</v>
      </c>
      <c r="G19" s="5" t="n">
        <f aca="false">SUMIFS(Dettaglio!$I$5:$I$126,Dettaglio!$B$5:$B$126,B19)</f>
        <v>23983.97</v>
      </c>
      <c r="H19" s="6" t="n">
        <f aca="false">IF($G$86=0,"",G19/$G$86)</f>
        <v>0.0139125426450652</v>
      </c>
      <c r="I19" s="5" t="n">
        <f aca="false">SUMIFS(Dettaglio!$J$5:$J$126,Dettaglio!$B$5:$B$126,B19)</f>
        <v>11646.83</v>
      </c>
      <c r="J19" s="6" t="n">
        <f aca="false">IF($I$86=0,"",I19/$I$86)</f>
        <v>0.0086835542578488</v>
      </c>
      <c r="K19" s="5" t="n">
        <f aca="false">G19-I19</f>
        <v>12337.14</v>
      </c>
      <c r="L19" s="6" t="n">
        <f aca="false">IF($K$86=0,"",K19/$K$86)</f>
        <v>0.0322406076939324</v>
      </c>
      <c r="M19" s="6" t="n">
        <f aca="false">IF(G19=0,"",K19/G19)</f>
        <v>0.514391070369084</v>
      </c>
      <c r="N19" s="5" t="n">
        <f aca="false">SUMIFS(Dettaglio!$M$5:$M$126,Dettaglio!$B$5:$B$126,B19)</f>
        <v>23983.97</v>
      </c>
      <c r="O19" s="5" t="n">
        <f aca="false">G19-N19</f>
        <v>0</v>
      </c>
      <c r="P19" s="10" t="n">
        <f aca="false">COUNTIFS(Dettaglio!$B$5:$B$126,B19,Dettaglio!$D$5:$D$126,"Quadro")+COUNTIFS(Dettaglio!$B$5:$B$126,B19,Dettaglio!$D$5:$D$126,"Variante")</f>
        <v>2</v>
      </c>
      <c r="Q19" s="4" t="s">
        <v>48</v>
      </c>
    </row>
    <row r="20" customFormat="false" ht="15" hidden="false" customHeight="false" outlineLevel="0" collapsed="false">
      <c r="A20" s="4" t="s">
        <v>17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59</v>
      </c>
      <c r="G20" s="5" t="n">
        <f aca="false">SUMIFS(Dettaglio!$I$5:$I$126,Dettaglio!$B$5:$B$126,B20)</f>
        <v>8820</v>
      </c>
      <c r="H20" s="6" t="n">
        <f aca="false">IF($G$86=0,"",G20/$G$86)</f>
        <v>0.00511627666851963</v>
      </c>
      <c r="I20" s="5" t="n">
        <f aca="false">SUMIFS(Dettaglio!$J$5:$J$126,Dettaglio!$B$5:$B$126,B20)</f>
        <v>3834</v>
      </c>
      <c r="J20" s="6" t="n">
        <f aca="false">IF($I$86=0,"",I20/$I$86)</f>
        <v>0.0028585243387765</v>
      </c>
      <c r="K20" s="5" t="n">
        <f aca="false">G20-I20</f>
        <v>4986</v>
      </c>
      <c r="L20" s="6" t="n">
        <f aca="false">IF($K$86=0,"",K20/$K$86)</f>
        <v>0.0130298975258404</v>
      </c>
      <c r="M20" s="6" t="n">
        <f aca="false">IF(G20=0,"",K20/G20)</f>
        <v>0.56530612244898</v>
      </c>
      <c r="N20" s="5" t="n">
        <f aca="false">SUMIFS(Dettaglio!$M$5:$M$126,Dettaglio!$B$5:$B$126,B20)</f>
        <v>8820</v>
      </c>
      <c r="O20" s="5" t="n">
        <f aca="false">G20-N20</f>
        <v>0</v>
      </c>
      <c r="P20" s="10" t="n">
        <f aca="false">COUNTIFS(Dettaglio!$B$5:$B$126,B20,Dettaglio!$D$5:$D$126,"Quadro")+COUNTIFS(Dettaglio!$B$5:$B$126,B20,Dettaglio!$D$5:$D$126,"Variante")</f>
        <v>0</v>
      </c>
      <c r="Q20" s="4" t="s">
        <v>48</v>
      </c>
    </row>
    <row r="21" customFormat="false" ht="15" hidden="false" customHeight="false" outlineLevel="0" collapsed="false">
      <c r="A21" s="4" t="s">
        <v>17</v>
      </c>
      <c r="B21" s="4" t="s">
        <v>99</v>
      </c>
      <c r="C21" s="4" t="s">
        <v>100</v>
      </c>
      <c r="D21" s="4" t="s">
        <v>57</v>
      </c>
      <c r="E21" s="4" t="s">
        <v>58</v>
      </c>
      <c r="F21" s="4" t="s">
        <v>59</v>
      </c>
      <c r="G21" s="5" t="n">
        <f aca="false">SUMIFS(Dettaglio!$I$5:$I$126,Dettaglio!$B$5:$B$126,B21)</f>
        <v>4959</v>
      </c>
      <c r="H21" s="6" t="n">
        <f aca="false">IF($G$86=0,"",G21/$G$86)</f>
        <v>0.00287660045342277</v>
      </c>
      <c r="I21" s="5" t="n">
        <f aca="false">SUMIFS(Dettaglio!$J$5:$J$126,Dettaglio!$B$5:$B$126,B21)</f>
        <v>3096.11</v>
      </c>
      <c r="J21" s="6" t="n">
        <f aca="false">IF($I$86=0,"",I21/$I$86)</f>
        <v>0.00230837396727421</v>
      </c>
      <c r="K21" s="5" t="n">
        <f aca="false">G21-I21</f>
        <v>1862.89</v>
      </c>
      <c r="L21" s="6" t="n">
        <f aca="false">IF($K$86=0,"",K21/$K$86)</f>
        <v>0.00486828435658099</v>
      </c>
      <c r="M21" s="6" t="n">
        <f aca="false">IF(G21=0,"",K21/G21)</f>
        <v>0.37565839887074</v>
      </c>
      <c r="N21" s="5" t="n">
        <f aca="false">SUMIFS(Dettaglio!$M$5:$M$126,Dettaglio!$B$5:$B$126,B21)</f>
        <v>4959</v>
      </c>
      <c r="O21" s="5" t="n">
        <f aca="false">G21-N21</f>
        <v>0</v>
      </c>
      <c r="P21" s="10" t="n">
        <f aca="false">COUNTIFS(Dettaglio!$B$5:$B$126,B21,Dettaglio!$D$5:$D$126,"Quadro")+COUNTIFS(Dettaglio!$B$5:$B$126,B21,Dettaglio!$D$5:$D$126,"Variante")</f>
        <v>0</v>
      </c>
      <c r="Q21" s="4" t="s">
        <v>48</v>
      </c>
    </row>
    <row r="22" customFormat="false" ht="15" hidden="false" customHeight="false" outlineLevel="0" collapsed="false">
      <c r="A22" s="4" t="s">
        <v>17</v>
      </c>
      <c r="B22" s="4" t="s">
        <v>101</v>
      </c>
      <c r="C22" s="4" t="s">
        <v>102</v>
      </c>
      <c r="D22" s="4" t="s">
        <v>68</v>
      </c>
      <c r="E22" s="4" t="s">
        <v>69</v>
      </c>
      <c r="F22" s="4" t="s">
        <v>47</v>
      </c>
      <c r="G22" s="5" t="n">
        <f aca="false">SUMIFS(Dettaglio!$I$5:$I$126,Dettaglio!$B$5:$B$126,B22)</f>
        <v>568923.01</v>
      </c>
      <c r="H22" s="6" t="n">
        <f aca="false">IF($G$86=0,"",G22/$G$86)</f>
        <v>0.330018993452036</v>
      </c>
      <c r="I22" s="5" t="n">
        <f aca="false">SUMIFS(Dettaglio!$J$5:$J$126,Dettaglio!$B$5:$B$126,B22)</f>
        <v>573021.28</v>
      </c>
      <c r="J22" s="6" t="n">
        <f aca="false">IF($I$86=0,"",I22/$I$86)</f>
        <v>0.427228814688801</v>
      </c>
      <c r="K22" s="5" t="n">
        <f aca="false">G22-I22</f>
        <v>-4098.27000000002</v>
      </c>
      <c r="L22" s="6" t="n">
        <f aca="false">IF($K$86=0,"",K22/$K$86)</f>
        <v>-0.0107099956143655</v>
      </c>
      <c r="M22" s="6" t="n">
        <f aca="false">IF(G22=0,"",K22/G22)</f>
        <v>-0.00720355817564844</v>
      </c>
      <c r="N22" s="5" t="n">
        <f aca="false">SUMIFS(Dettaglio!$M$5:$M$126,Dettaglio!$B$5:$B$126,B22)</f>
        <v>568923.01</v>
      </c>
      <c r="O22" s="5" t="n">
        <f aca="false">G22-N22</f>
        <v>0</v>
      </c>
      <c r="P22" s="10" t="n">
        <f aca="false">COUNTIFS(Dettaglio!$B$5:$B$126,B22,Dettaglio!$D$5:$D$126,"Quadro")+COUNTIFS(Dettaglio!$B$5:$B$126,B22,Dettaglio!$D$5:$D$126,"Variante")</f>
        <v>7</v>
      </c>
      <c r="Q22" s="4" t="s">
        <v>48</v>
      </c>
    </row>
    <row r="23" customFormat="false" ht="15" hidden="false" customHeight="false" outlineLevel="0" collapsed="false">
      <c r="A23" s="4" t="s">
        <v>17</v>
      </c>
      <c r="B23" s="4" t="s">
        <v>103</v>
      </c>
      <c r="C23" s="4" t="s">
        <v>104</v>
      </c>
      <c r="D23" s="4" t="s">
        <v>79</v>
      </c>
      <c r="E23" s="4" t="s">
        <v>80</v>
      </c>
      <c r="F23" s="4" t="s">
        <v>59</v>
      </c>
      <c r="G23" s="5" t="n">
        <f aca="false">SUMIFS(Dettaglio!$I$5:$I$126,Dettaglio!$B$5:$B$126,B23)</f>
        <v>1746.77</v>
      </c>
      <c r="H23" s="6" t="n">
        <f aca="false">IF($G$86=0,"",G23/$G$86)</f>
        <v>0.001013260611822</v>
      </c>
      <c r="I23" s="5" t="n">
        <f aca="false">SUMIFS(Dettaglio!$J$5:$J$126,Dettaglio!$B$5:$B$126,B23)</f>
        <v>579.22</v>
      </c>
      <c r="J23" s="6" t="n">
        <f aca="false">IF($I$86=0,"",I23/$I$86)</f>
        <v>0.000431850408843538</v>
      </c>
      <c r="K23" s="5" t="n">
        <f aca="false">G23-I23</f>
        <v>1167.55</v>
      </c>
      <c r="L23" s="6" t="n">
        <f aca="false">IF($K$86=0,"",K23/$K$86)</f>
        <v>0.00305115460415062</v>
      </c>
      <c r="M23" s="6" t="n">
        <f aca="false">IF(G23=0,"",K23/G23)</f>
        <v>0.668405113437945</v>
      </c>
      <c r="N23" s="5" t="n">
        <f aca="false">SUMIFS(Dettaglio!$M$5:$M$126,Dettaglio!$B$5:$B$126,B23)</f>
        <v>1746.77</v>
      </c>
      <c r="O23" s="5" t="n">
        <f aca="false">G23-N23</f>
        <v>0</v>
      </c>
      <c r="P23" s="10" t="n">
        <f aca="false">COUNTIFS(Dettaglio!$B$5:$B$126,B23,Dettaglio!$D$5:$D$126,"Quadro")+COUNTIFS(Dettaglio!$B$5:$B$126,B23,Dettaglio!$D$5:$D$126,"Variante")</f>
        <v>0</v>
      </c>
      <c r="Q23" s="4" t="s">
        <v>48</v>
      </c>
    </row>
    <row r="24" customFormat="false" ht="15" hidden="false" customHeight="false" outlineLevel="0" collapsed="false">
      <c r="A24" s="4" t="s">
        <v>17</v>
      </c>
      <c r="B24" s="4" t="s">
        <v>105</v>
      </c>
      <c r="C24" s="4" t="s">
        <v>106</v>
      </c>
      <c r="D24" s="4" t="s">
        <v>107</v>
      </c>
      <c r="E24" s="4" t="s">
        <v>108</v>
      </c>
      <c r="F24" s="4" t="s">
        <v>59</v>
      </c>
      <c r="G24" s="5" t="n">
        <f aca="false">SUMIFS(Dettaglio!$I$5:$I$126,Dettaglio!$B$5:$B$126,B24)</f>
        <v>2500</v>
      </c>
      <c r="H24" s="6" t="n">
        <f aca="false">IF($G$86=0,"",G24/$G$86)</f>
        <v>0.00145019179946701</v>
      </c>
      <c r="I24" s="5" t="n">
        <f aca="false">SUMIFS(Dettaglio!$J$5:$J$126,Dettaglio!$B$5:$B$126,B24)</f>
        <v>1573.35</v>
      </c>
      <c r="J24" s="6" t="n">
        <f aca="false">IF($I$86=0,"",I24/$I$86)</f>
        <v>0.00117304623589306</v>
      </c>
      <c r="K24" s="5" t="n">
        <f aca="false">G24-I24</f>
        <v>926.65</v>
      </c>
      <c r="L24" s="6" t="n">
        <f aca="false">IF($K$86=0,"",K24/$K$86)</f>
        <v>0.00242161142044124</v>
      </c>
      <c r="M24" s="6" t="n">
        <f aca="false">IF(G24=0,"",K24/G24)</f>
        <v>0.37066</v>
      </c>
      <c r="N24" s="5" t="n">
        <f aca="false">SUMIFS(Dettaglio!$M$5:$M$126,Dettaglio!$B$5:$B$126,B24)</f>
        <v>2500</v>
      </c>
      <c r="O24" s="5" t="n">
        <f aca="false">G24-N24</f>
        <v>0</v>
      </c>
      <c r="P24" s="10" t="n">
        <f aca="false">COUNTIFS(Dettaglio!$B$5:$B$126,B24,Dettaglio!$D$5:$D$126,"Quadro")+COUNTIFS(Dettaglio!$B$5:$B$126,B24,Dettaglio!$D$5:$D$126,"Variante")</f>
        <v>0</v>
      </c>
      <c r="Q24" s="4"/>
    </row>
    <row r="25" customFormat="false" ht="15" hidden="false" customHeight="false" outlineLevel="0" collapsed="false">
      <c r="A25" s="4" t="s">
        <v>17</v>
      </c>
      <c r="B25" s="4" t="s">
        <v>109</v>
      </c>
      <c r="C25" s="4" t="s">
        <v>110</v>
      </c>
      <c r="D25" s="4" t="s">
        <v>75</v>
      </c>
      <c r="E25" s="4" t="s">
        <v>76</v>
      </c>
      <c r="F25" s="4" t="s">
        <v>59</v>
      </c>
      <c r="G25" s="5" t="n">
        <f aca="false">SUMIFS(Dettaglio!$I$5:$I$126,Dettaglio!$B$5:$B$126,B25)</f>
        <v>103620</v>
      </c>
      <c r="H25" s="6" t="n">
        <f aca="false">IF($G$86=0,"",G25/$G$86)</f>
        <v>0.0601075497043088</v>
      </c>
      <c r="I25" s="5" t="n">
        <f aca="false">SUMIFS(Dettaglio!$J$5:$J$126,Dettaglio!$B$5:$B$126,B25)</f>
        <v>60838.48</v>
      </c>
      <c r="J25" s="6" t="n">
        <f aca="false">IF($I$86=0,"",I25/$I$86)</f>
        <v>0.0453594876927927</v>
      </c>
      <c r="K25" s="5" t="n">
        <f aca="false">G25-I25</f>
        <v>42781.52</v>
      </c>
      <c r="L25" s="6" t="n">
        <f aca="false">IF($K$86=0,"",K25/$K$86)</f>
        <v>0.111800806578358</v>
      </c>
      <c r="M25" s="6" t="n">
        <f aca="false">IF(G25=0,"",K25/G25)</f>
        <v>0.412869330245126</v>
      </c>
      <c r="N25" s="5" t="n">
        <f aca="false">SUMIFS(Dettaglio!$M$5:$M$126,Dettaglio!$B$5:$B$126,B25)</f>
        <v>103620</v>
      </c>
      <c r="O25" s="5" t="n">
        <f aca="false">G25-N25</f>
        <v>0</v>
      </c>
      <c r="P25" s="10" t="n">
        <f aca="false">COUNTIFS(Dettaglio!$B$5:$B$126,B25,Dettaglio!$D$5:$D$126,"Quadro")+COUNTIFS(Dettaglio!$B$5:$B$126,B25,Dettaglio!$D$5:$D$126,"Variante")</f>
        <v>0</v>
      </c>
      <c r="Q25" s="4" t="s">
        <v>48</v>
      </c>
    </row>
    <row r="26" customFormat="false" ht="15" hidden="false" customHeight="false" outlineLevel="0" collapsed="false">
      <c r="A26" s="4" t="s">
        <v>17</v>
      </c>
      <c r="B26" s="4" t="s">
        <v>111</v>
      </c>
      <c r="C26" s="4" t="s">
        <v>112</v>
      </c>
      <c r="D26" s="4" t="s">
        <v>57</v>
      </c>
      <c r="E26" s="4" t="s">
        <v>58</v>
      </c>
      <c r="F26" s="4" t="s">
        <v>47</v>
      </c>
      <c r="G26" s="5" t="n">
        <f aca="false">SUMIFS(Dettaglio!$I$5:$I$126,Dettaglio!$B$5:$B$126,B26)</f>
        <v>23093.77</v>
      </c>
      <c r="H26" s="6" t="n">
        <f aca="false">IF($G$86=0,"",G26/$G$86)</f>
        <v>0.0133961583491109</v>
      </c>
      <c r="I26" s="5" t="n">
        <f aca="false">SUMIFS(Dettaglio!$J$5:$J$126,Dettaglio!$B$5:$B$126,B26)</f>
        <v>11316.18</v>
      </c>
      <c r="J26" s="6" t="n">
        <f aca="false">IF($I$86=0,"",I26/$I$86)</f>
        <v>0.00843703076473027</v>
      </c>
      <c r="K26" s="5" t="n">
        <f aca="false">G26-I26</f>
        <v>11777.59</v>
      </c>
      <c r="L26" s="6" t="n">
        <f aca="false">IF($K$86=0,"",K26/$K$86)</f>
        <v>0.0307783375052874</v>
      </c>
      <c r="M26" s="6" t="n">
        <f aca="false">IF(G26=0,"",K26/G26)</f>
        <v>0.509989923689376</v>
      </c>
      <c r="N26" s="5" t="n">
        <f aca="false">SUMIFS(Dettaglio!$M$5:$M$126,Dettaglio!$B$5:$B$126,B26)</f>
        <v>23093.77</v>
      </c>
      <c r="O26" s="5" t="n">
        <f aca="false">G26-N26</f>
        <v>0</v>
      </c>
      <c r="P26" s="10" t="n">
        <f aca="false">COUNTIFS(Dettaglio!$B$5:$B$126,B26,Dettaglio!$D$5:$D$126,"Quadro")+COUNTIFS(Dettaglio!$B$5:$B$126,B26,Dettaglio!$D$5:$D$126,"Variante")</f>
        <v>0</v>
      </c>
      <c r="Q26" s="4" t="s">
        <v>48</v>
      </c>
    </row>
    <row r="27" customFormat="false" ht="15" hidden="false" customHeight="false" outlineLevel="0" collapsed="false">
      <c r="A27" s="4" t="s">
        <v>17</v>
      </c>
      <c r="B27" s="4" t="s">
        <v>113</v>
      </c>
      <c r="C27" s="4" t="s">
        <v>114</v>
      </c>
      <c r="D27" s="4" t="s">
        <v>57</v>
      </c>
      <c r="E27" s="4" t="s">
        <v>58</v>
      </c>
      <c r="F27" s="4" t="s">
        <v>59</v>
      </c>
      <c r="G27" s="5" t="n">
        <f aca="false">SUMIFS(Dettaglio!$I$5:$I$126,Dettaglio!$B$5:$B$126,B27)</f>
        <v>9080</v>
      </c>
      <c r="H27" s="6" t="n">
        <f aca="false">IF($G$86=0,"",G27/$G$86)</f>
        <v>0.0052670966156642</v>
      </c>
      <c r="I27" s="5" t="n">
        <f aca="false">SUMIFS(Dettaglio!$J$5:$J$126,Dettaglio!$B$5:$B$126,B27)</f>
        <v>4538.03</v>
      </c>
      <c r="J27" s="6" t="n">
        <f aca="false">IF($I$86=0,"",I27/$I$86)</f>
        <v>0.00338342963095929</v>
      </c>
      <c r="K27" s="5" t="n">
        <f aca="false">G27-I27</f>
        <v>4541.97</v>
      </c>
      <c r="L27" s="6" t="n">
        <f aca="false">IF($K$86=0,"",K27/$K$86)</f>
        <v>0.0118695153761415</v>
      </c>
      <c r="M27" s="6" t="n">
        <f aca="false">IF(G27=0,"",K27/G27)</f>
        <v>0.500216960352423</v>
      </c>
      <c r="N27" s="5" t="n">
        <f aca="false">SUMIFS(Dettaglio!$M$5:$M$126,Dettaglio!$B$5:$B$126,B27)</f>
        <v>9080</v>
      </c>
      <c r="O27" s="5" t="n">
        <f aca="false">G27-N27</f>
        <v>0</v>
      </c>
      <c r="P27" s="10" t="n">
        <f aca="false">COUNTIFS(Dettaglio!$B$5:$B$126,B27,Dettaglio!$D$5:$D$126,"Quadro")+COUNTIFS(Dettaglio!$B$5:$B$126,B27,Dettaglio!$D$5:$D$126,"Variante")</f>
        <v>0</v>
      </c>
      <c r="Q27" s="4" t="s">
        <v>48</v>
      </c>
    </row>
    <row r="28" customFormat="false" ht="15" hidden="false" customHeight="false" outlineLevel="0" collapsed="false">
      <c r="A28" s="4" t="s">
        <v>17</v>
      </c>
      <c r="B28" s="4" t="s">
        <v>115</v>
      </c>
      <c r="C28" s="4" t="s">
        <v>116</v>
      </c>
      <c r="D28" s="4" t="s">
        <v>87</v>
      </c>
      <c r="E28" s="4" t="s">
        <v>88</v>
      </c>
      <c r="F28" s="4" t="s">
        <v>47</v>
      </c>
      <c r="G28" s="5" t="n">
        <f aca="false">SUMIFS(Dettaglio!$I$5:$I$126,Dettaglio!$B$5:$B$126,B28)</f>
        <v>1396.2</v>
      </c>
      <c r="H28" s="6" t="n">
        <f aca="false">IF($G$86=0,"",G28/$G$86)</f>
        <v>0.000809903116166338</v>
      </c>
      <c r="I28" s="5" t="n">
        <f aca="false">SUMIFS(Dettaglio!$J$5:$J$126,Dettaglio!$B$5:$B$126,B28)</f>
        <v>724.68</v>
      </c>
      <c r="J28" s="6" t="n">
        <f aca="false">IF($I$86=0,"",I28/$I$86)</f>
        <v>0.000540301360934938</v>
      </c>
      <c r="K28" s="5" t="n">
        <f aca="false">G28-I28</f>
        <v>671.52</v>
      </c>
      <c r="L28" s="6" t="n">
        <f aca="false">IF($K$86=0,"",K28/$K$86)</f>
        <v>0.00175488102417817</v>
      </c>
      <c r="M28" s="6" t="n">
        <f aca="false">IF(G28=0,"",K28/G28)</f>
        <v>0.480962612806188</v>
      </c>
      <c r="N28" s="5" t="n">
        <f aca="false">SUMIFS(Dettaglio!$M$5:$M$126,Dettaglio!$B$5:$B$126,B28)</f>
        <v>1396.2</v>
      </c>
      <c r="O28" s="5" t="n">
        <f aca="false">G28-N28</f>
        <v>0</v>
      </c>
      <c r="P28" s="10" t="n">
        <f aca="false">COUNTIFS(Dettaglio!$B$5:$B$126,B28,Dettaglio!$D$5:$D$126,"Quadro")+COUNTIFS(Dettaglio!$B$5:$B$126,B28,Dettaglio!$D$5:$D$126,"Variante")</f>
        <v>0</v>
      </c>
      <c r="Q28" s="4"/>
    </row>
    <row r="29" customFormat="false" ht="15" hidden="false" customHeight="false" outlineLevel="0" collapsed="false">
      <c r="A29" s="4" t="s">
        <v>17</v>
      </c>
      <c r="B29" s="4" t="s">
        <v>117</v>
      </c>
      <c r="C29" s="4" t="s">
        <v>118</v>
      </c>
      <c r="D29" s="4" t="s">
        <v>79</v>
      </c>
      <c r="E29" s="4" t="s">
        <v>80</v>
      </c>
      <c r="F29" s="4" t="s">
        <v>47</v>
      </c>
      <c r="G29" s="5" t="n">
        <f aca="false">SUMIFS(Dettaglio!$I$5:$I$126,Dettaglio!$B$5:$B$126,B29)</f>
        <v>40872.87</v>
      </c>
      <c r="H29" s="6" t="n">
        <f aca="false">IF($G$86=0,"",G29/$G$86)</f>
        <v>0.0237094003578725</v>
      </c>
      <c r="I29" s="5" t="n">
        <f aca="false">SUMIFS(Dettaglio!$J$5:$J$126,Dettaglio!$B$5:$B$126,B29)</f>
        <v>13894.52</v>
      </c>
      <c r="J29" s="6" t="n">
        <f aca="false">IF($I$86=0,"",I29/$I$86)</f>
        <v>0.010359369743249</v>
      </c>
      <c r="K29" s="5" t="n">
        <f aca="false">G29-I29</f>
        <v>26978.35</v>
      </c>
      <c r="L29" s="6" t="n">
        <f aca="false">IF($K$86=0,"",K29/$K$86)</f>
        <v>0.070502433998447</v>
      </c>
      <c r="M29" s="6" t="n">
        <f aca="false">IF(G29=0,"",K29/G29)</f>
        <v>0.660055190643574</v>
      </c>
      <c r="N29" s="5" t="n">
        <f aca="false">SUMIFS(Dettaglio!$M$5:$M$126,Dettaglio!$B$5:$B$126,B29)</f>
        <v>40872.87</v>
      </c>
      <c r="O29" s="5" t="n">
        <f aca="false">G29-N29</f>
        <v>0</v>
      </c>
      <c r="P29" s="10" t="n">
        <f aca="false">COUNTIFS(Dettaglio!$B$5:$B$126,B29,Dettaglio!$D$5:$D$126,"Quadro")+COUNTIFS(Dettaglio!$B$5:$B$126,B29,Dettaglio!$D$5:$D$126,"Variante")</f>
        <v>2</v>
      </c>
      <c r="Q29" s="4" t="s">
        <v>48</v>
      </c>
    </row>
    <row r="30" customFormat="false" ht="15" hidden="false" customHeight="false" outlineLevel="0" collapsed="false">
      <c r="A30" s="4" t="s">
        <v>17</v>
      </c>
      <c r="B30" s="4" t="s">
        <v>119</v>
      </c>
      <c r="C30" s="4" t="s">
        <v>120</v>
      </c>
      <c r="D30" s="4" t="s">
        <v>79</v>
      </c>
      <c r="E30" s="4" t="s">
        <v>80</v>
      </c>
      <c r="F30" s="4" t="s">
        <v>59</v>
      </c>
      <c r="G30" s="5" t="n">
        <f aca="false">SUMIFS(Dettaglio!$I$5:$I$126,Dettaglio!$B$5:$B$126,B30)</f>
        <v>11600</v>
      </c>
      <c r="H30" s="6" t="n">
        <f aca="false">IF($G$86=0,"",G30/$G$86)</f>
        <v>0.00672888994952695</v>
      </c>
      <c r="I30" s="5" t="n">
        <f aca="false">SUMIFS(Dettaglio!$J$5:$J$126,Dettaglio!$B$5:$B$126,B30)</f>
        <v>6595.68</v>
      </c>
      <c r="J30" s="6" t="n">
        <f aca="false">IF($I$86=0,"",I30/$I$86)</f>
        <v>0.00491755654949958</v>
      </c>
      <c r="K30" s="5" t="n">
        <f aca="false">G30-I30</f>
        <v>5004.32</v>
      </c>
      <c r="L30" s="6" t="n">
        <f aca="false">IF($K$86=0,"",K30/$K$86)</f>
        <v>0.0130777731220445</v>
      </c>
      <c r="M30" s="6" t="n">
        <f aca="false">IF(G30=0,"",K30/G30)</f>
        <v>0.431406896551724</v>
      </c>
      <c r="N30" s="5" t="n">
        <f aca="false">SUMIFS(Dettaglio!$M$5:$M$126,Dettaglio!$B$5:$B$126,B30)</f>
        <v>11600</v>
      </c>
      <c r="O30" s="5" t="n">
        <f aca="false">G30-N30</f>
        <v>0</v>
      </c>
      <c r="P30" s="10" t="n">
        <f aca="false">COUNTIFS(Dettaglio!$B$5:$B$126,B30,Dettaglio!$D$5:$D$126,"Quadro")+COUNTIFS(Dettaglio!$B$5:$B$126,B30,Dettaglio!$D$5:$D$126,"Variante")</f>
        <v>1</v>
      </c>
      <c r="Q30" s="4" t="s">
        <v>48</v>
      </c>
    </row>
    <row r="31" customFormat="false" ht="15" hidden="false" customHeight="false" outlineLevel="0" collapsed="false">
      <c r="A31" s="4" t="s">
        <v>17</v>
      </c>
      <c r="B31" s="4" t="s">
        <v>121</v>
      </c>
      <c r="C31" s="4" t="s">
        <v>122</v>
      </c>
      <c r="D31" s="4" t="s">
        <v>79</v>
      </c>
      <c r="E31" s="4" t="s">
        <v>80</v>
      </c>
      <c r="F31" s="4" t="s">
        <v>47</v>
      </c>
      <c r="G31" s="5" t="n">
        <f aca="false">SUMIFS(Dettaglio!$I$5:$I$126,Dettaglio!$B$5:$B$126,B31)</f>
        <v>0</v>
      </c>
      <c r="H31" s="6" t="n">
        <f aca="false">IF($G$86=0,"",G31/$G$86)</f>
        <v>0</v>
      </c>
      <c r="I31" s="5" t="n">
        <f aca="false">SUMIFS(Dettaglio!$J$5:$J$126,Dettaglio!$B$5:$B$126,B31)</f>
        <v>28492.69</v>
      </c>
      <c r="J31" s="6" t="n">
        <f aca="false">IF($I$86=0,"",I31/$I$86)</f>
        <v>0.0212433614611929</v>
      </c>
      <c r="K31" s="5" t="n">
        <f aca="false">G31-I31</f>
        <v>-28492.69</v>
      </c>
      <c r="L31" s="6" t="n">
        <f aca="false">IF($K$86=0,"",K31/$K$86)</f>
        <v>-0.0744598537776851</v>
      </c>
      <c r="M31" s="6" t="str">
        <f aca="false">IF(G31=0,"",K31/G31)</f>
        <v/>
      </c>
      <c r="N31" s="5" t="n">
        <f aca="false">SUMIFS(Dettaglio!$M$5:$M$126,Dettaglio!$B$5:$B$126,B31)</f>
        <v>0</v>
      </c>
      <c r="O31" s="5" t="n">
        <f aca="false">G31-N31</f>
        <v>0</v>
      </c>
      <c r="P31" s="10" t="n">
        <f aca="false">COUNTIFS(Dettaglio!$B$5:$B$126,B31,Dettaglio!$D$5:$D$126,"Quadro")+COUNTIFS(Dettaglio!$B$5:$B$126,B31,Dettaglio!$D$5:$D$126,"Variante")</f>
        <v>0</v>
      </c>
      <c r="Q31" s="4" t="s">
        <v>48</v>
      </c>
    </row>
    <row r="32" customFormat="false" ht="15" hidden="false" customHeight="false" outlineLevel="0" collapsed="false">
      <c r="A32" s="4" t="s">
        <v>17</v>
      </c>
      <c r="B32" s="4" t="s">
        <v>123</v>
      </c>
      <c r="C32" s="4" t="s">
        <v>124</v>
      </c>
      <c r="D32" s="4" t="s">
        <v>45</v>
      </c>
      <c r="E32" s="4" t="s">
        <v>46</v>
      </c>
      <c r="F32" s="4" t="s">
        <v>47</v>
      </c>
      <c r="G32" s="5" t="n">
        <f aca="false">SUMIFS(Dettaglio!$I$5:$I$126,Dettaglio!$B$5:$B$126,B32)</f>
        <v>36126.04</v>
      </c>
      <c r="H32" s="6" t="n">
        <f aca="false">IF($G$86=0,"",G32/$G$86)</f>
        <v>0.0209558747820869</v>
      </c>
      <c r="I32" s="5" t="n">
        <f aca="false">SUMIFS(Dettaglio!$J$5:$J$126,Dettaglio!$B$5:$B$126,B32)</f>
        <v>12280.67</v>
      </c>
      <c r="J32" s="6" t="n">
        <f aca="false">IF($I$86=0,"",I32/$I$86)</f>
        <v>0.00915612782772102</v>
      </c>
      <c r="K32" s="5" t="n">
        <f aca="false">G32-I32</f>
        <v>23845.37</v>
      </c>
      <c r="L32" s="6" t="n">
        <f aca="false">IF($K$86=0,"",K32/$K$86)</f>
        <v>0.062315027590403</v>
      </c>
      <c r="M32" s="6" t="n">
        <f aca="false">IF(G32=0,"",K32/G32)</f>
        <v>0.660060443934625</v>
      </c>
      <c r="N32" s="5" t="n">
        <f aca="false">SUMIFS(Dettaglio!$M$5:$M$126,Dettaglio!$B$5:$B$126,B32)</f>
        <v>36126.04</v>
      </c>
      <c r="O32" s="5" t="n">
        <f aca="false">G32-N32</f>
        <v>0</v>
      </c>
      <c r="P32" s="10" t="n">
        <f aca="false">COUNTIFS(Dettaglio!$B$5:$B$126,B32,Dettaglio!$D$5:$D$126,"Quadro")+COUNTIFS(Dettaglio!$B$5:$B$126,B32,Dettaglio!$D$5:$D$126,"Variante")</f>
        <v>0</v>
      </c>
      <c r="Q32" s="4" t="s">
        <v>48</v>
      </c>
    </row>
    <row r="33" customFormat="false" ht="15" hidden="false" customHeight="false" outlineLevel="0" collapsed="false">
      <c r="A33" s="4" t="s">
        <v>17</v>
      </c>
      <c r="B33" s="4" t="s">
        <v>125</v>
      </c>
      <c r="C33" s="4" t="s">
        <v>126</v>
      </c>
      <c r="D33" s="4" t="s">
        <v>79</v>
      </c>
      <c r="E33" s="4" t="s">
        <v>80</v>
      </c>
      <c r="F33" s="4" t="s">
        <v>59</v>
      </c>
      <c r="G33" s="5" t="n">
        <f aca="false">SUMIFS(Dettaglio!$I$5:$I$126,Dettaglio!$B$5:$B$126,B33)</f>
        <v>3898.76</v>
      </c>
      <c r="H33" s="6" t="n">
        <f aca="false">IF($G$86=0,"",G33/$G$86)</f>
        <v>0.00226157991203601</v>
      </c>
      <c r="I33" s="5" t="n">
        <f aca="false">SUMIFS(Dettaglio!$J$5:$J$126,Dettaglio!$B$5:$B$126,B33)</f>
        <v>1060.28</v>
      </c>
      <c r="J33" s="6" t="n">
        <f aca="false">IF($I$86=0,"",I33/$I$86)</f>
        <v>0.000790515437119965</v>
      </c>
      <c r="K33" s="5" t="n">
        <f aca="false">G33-I33</f>
        <v>2838.48</v>
      </c>
      <c r="L33" s="6" t="n">
        <f aca="false">IF($K$86=0,"",K33/$K$86)</f>
        <v>0.00741779051928349</v>
      </c>
      <c r="M33" s="6" t="n">
        <f aca="false">IF(G33=0,"",K33/G33)</f>
        <v>0.728046866183094</v>
      </c>
      <c r="N33" s="5" t="n">
        <f aca="false">SUMIFS(Dettaglio!$M$5:$M$126,Dettaglio!$B$5:$B$126,B33)</f>
        <v>3898.76</v>
      </c>
      <c r="O33" s="5" t="n">
        <f aca="false">G33-N33</f>
        <v>0</v>
      </c>
      <c r="P33" s="10" t="n">
        <f aca="false">COUNTIFS(Dettaglio!$B$5:$B$126,B33,Dettaglio!$D$5:$D$126,"Quadro")+COUNTIFS(Dettaglio!$B$5:$B$126,B33,Dettaglio!$D$5:$D$126,"Variante")</f>
        <v>0</v>
      </c>
      <c r="Q33" s="4"/>
    </row>
    <row r="34" customFormat="false" ht="15" hidden="false" customHeight="false" outlineLevel="0" collapsed="false">
      <c r="A34" s="4" t="s">
        <v>17</v>
      </c>
      <c r="B34" s="4" t="s">
        <v>127</v>
      </c>
      <c r="C34" s="4" t="s">
        <v>128</v>
      </c>
      <c r="D34" s="4" t="s">
        <v>129</v>
      </c>
      <c r="E34" s="4" t="s">
        <v>130</v>
      </c>
      <c r="F34" s="4" t="s">
        <v>47</v>
      </c>
      <c r="G34" s="5" t="n">
        <f aca="false">SUMIFS(Dettaglio!$I$5:$I$126,Dettaglio!$B$5:$B$126,B34)</f>
        <v>4318.25</v>
      </c>
      <c r="H34" s="6" t="n">
        <f aca="false">IF($G$86=0,"",G34/$G$86)</f>
        <v>0.00250491629521937</v>
      </c>
      <c r="I34" s="5" t="n">
        <f aca="false">SUMIFS(Dettaglio!$J$5:$J$126,Dettaglio!$B$5:$B$126,B34)</f>
        <v>1613.63</v>
      </c>
      <c r="J34" s="6" t="n">
        <f aca="false">IF($I$86=0,"",I34/$I$86)</f>
        <v>0.00120307788961396</v>
      </c>
      <c r="K34" s="5" t="n">
        <f aca="false">G34-I34</f>
        <v>2704.62</v>
      </c>
      <c r="L34" s="6" t="n">
        <f aca="false">IF($K$86=0,"",K34/$K$86)</f>
        <v>0.00706797461819865</v>
      </c>
      <c r="M34" s="6" t="n">
        <f aca="false">IF(G34=0,"",K34/G34)</f>
        <v>0.626323163318474</v>
      </c>
      <c r="N34" s="5" t="n">
        <f aca="false">SUMIFS(Dettaglio!$M$5:$M$126,Dettaglio!$B$5:$B$126,B34)</f>
        <v>4318.25</v>
      </c>
      <c r="O34" s="5" t="n">
        <f aca="false">G34-N34</f>
        <v>0</v>
      </c>
      <c r="P34" s="10" t="n">
        <f aca="false">COUNTIFS(Dettaglio!$B$5:$B$126,B34,Dettaglio!$D$5:$D$126,"Quadro")+COUNTIFS(Dettaglio!$B$5:$B$126,B34,Dettaglio!$D$5:$D$126,"Variante")</f>
        <v>0</v>
      </c>
      <c r="Q34" s="4"/>
    </row>
    <row r="35" customFormat="false" ht="15" hidden="false" customHeight="false" outlineLevel="0" collapsed="false">
      <c r="A35" s="4" t="s">
        <v>17</v>
      </c>
      <c r="B35" s="4" t="s">
        <v>131</v>
      </c>
      <c r="C35" s="4" t="s">
        <v>132</v>
      </c>
      <c r="D35" s="4" t="s">
        <v>97</v>
      </c>
      <c r="E35" s="4" t="s">
        <v>98</v>
      </c>
      <c r="F35" s="4" t="s">
        <v>47</v>
      </c>
      <c r="G35" s="5" t="n">
        <f aca="false">SUMIFS(Dettaglio!$I$5:$I$126,Dettaglio!$B$5:$B$126,B35)</f>
        <v>10084</v>
      </c>
      <c r="H35" s="6" t="n">
        <f aca="false">IF($G$86=0,"",G35/$G$86)</f>
        <v>0.00584949364233015</v>
      </c>
      <c r="I35" s="5" t="n">
        <f aca="false">SUMIFS(Dettaglio!$J$5:$J$126,Dettaglio!$B$5:$B$126,B35)</f>
        <v>5462.5</v>
      </c>
      <c r="J35" s="6" t="n">
        <f aca="false">IF($I$86=0,"",I35/$I$86)</f>
        <v>0.00407268888903668</v>
      </c>
      <c r="K35" s="5" t="n">
        <f aca="false">G35-I35</f>
        <v>4621.5</v>
      </c>
      <c r="L35" s="6" t="n">
        <f aca="false">IF($K$86=0,"",K35/$K$86)</f>
        <v>0.0120773508655579</v>
      </c>
      <c r="M35" s="6" t="n">
        <f aca="false">IF(G35=0,"",K35/G35)</f>
        <v>0.458300277667592</v>
      </c>
      <c r="N35" s="5" t="n">
        <f aca="false">SUMIFS(Dettaglio!$M$5:$M$126,Dettaglio!$B$5:$B$126,B35)</f>
        <v>10084</v>
      </c>
      <c r="O35" s="5" t="n">
        <f aca="false">G35-N35</f>
        <v>0</v>
      </c>
      <c r="P35" s="10" t="n">
        <f aca="false">COUNTIFS(Dettaglio!$B$5:$B$126,B35,Dettaglio!$D$5:$D$126,"Quadro")+COUNTIFS(Dettaglio!$B$5:$B$126,B35,Dettaglio!$D$5:$D$126,"Variante")</f>
        <v>0</v>
      </c>
      <c r="Q35" s="4" t="s">
        <v>48</v>
      </c>
    </row>
    <row r="36" customFormat="false" ht="15" hidden="false" customHeight="false" outlineLevel="0" collapsed="false">
      <c r="A36" s="4" t="s">
        <v>17</v>
      </c>
      <c r="B36" s="4" t="s">
        <v>133</v>
      </c>
      <c r="C36" s="4" t="s">
        <v>134</v>
      </c>
      <c r="D36" s="4" t="s">
        <v>135</v>
      </c>
      <c r="E36" s="4" t="s">
        <v>136</v>
      </c>
      <c r="F36" s="4" t="s">
        <v>47</v>
      </c>
      <c r="G36" s="5" t="n">
        <f aca="false">SUMIFS(Dettaglio!$I$5:$I$126,Dettaglio!$B$5:$B$126,B36)</f>
        <v>0</v>
      </c>
      <c r="H36" s="6" t="n">
        <f aca="false">IF($G$86=0,"",G36/$G$86)</f>
        <v>0</v>
      </c>
      <c r="I36" s="5" t="n">
        <f aca="false">SUMIFS(Dettaglio!$J$5:$J$126,Dettaglio!$B$5:$B$126,B36)</f>
        <v>2566.29</v>
      </c>
      <c r="J36" s="6" t="n">
        <f aca="false">IF($I$86=0,"",I36/$I$86)</f>
        <v>0.00191335483186196</v>
      </c>
      <c r="K36" s="5" t="n">
        <f aca="false">G36-I36</f>
        <v>-2566.29</v>
      </c>
      <c r="L36" s="6" t="n">
        <f aca="false">IF($K$86=0,"",K36/$K$86)</f>
        <v>-0.00670647728070377</v>
      </c>
      <c r="M36" s="6" t="str">
        <f aca="false">IF(G36=0,"",K36/G36)</f>
        <v/>
      </c>
      <c r="N36" s="5" t="n">
        <f aca="false">SUMIFS(Dettaglio!$M$5:$M$126,Dettaglio!$B$5:$B$126,B36)</f>
        <v>0</v>
      </c>
      <c r="O36" s="5" t="n">
        <f aca="false">G36-N36</f>
        <v>0</v>
      </c>
      <c r="P36" s="10" t="n">
        <f aca="false">COUNTIFS(Dettaglio!$B$5:$B$126,B36,Dettaglio!$D$5:$D$126,"Quadro")+COUNTIFS(Dettaglio!$B$5:$B$126,B36,Dettaglio!$D$5:$D$126,"Variante")</f>
        <v>0</v>
      </c>
      <c r="Q36" s="4" t="s">
        <v>48</v>
      </c>
    </row>
    <row r="37" customFormat="false" ht="15" hidden="false" customHeight="false" outlineLevel="0" collapsed="false">
      <c r="A37" s="4" t="s">
        <v>18</v>
      </c>
      <c r="B37" s="4" t="s">
        <v>137</v>
      </c>
      <c r="C37" s="4" t="s">
        <v>138</v>
      </c>
      <c r="D37" s="4" t="s">
        <v>97</v>
      </c>
      <c r="E37" s="4" t="s">
        <v>98</v>
      </c>
      <c r="F37" s="4" t="s">
        <v>47</v>
      </c>
      <c r="G37" s="5" t="n">
        <f aca="false">SUMIFS(Dettaglio!$I$5:$I$126,Dettaglio!$B$5:$B$126,B37)</f>
        <v>19191.9</v>
      </c>
      <c r="H37" s="6" t="n">
        <f aca="false">IF($G$86=0,"",G37/$G$86)</f>
        <v>0.0111327743984764</v>
      </c>
      <c r="I37" s="5" t="n">
        <f aca="false">SUMIFS(Dettaglio!$J$5:$J$126,Dettaglio!$B$5:$B$126,B37)</f>
        <v>0</v>
      </c>
      <c r="J37" s="6" t="n">
        <f aca="false">IF($I$86=0,"",I37/$I$86)</f>
        <v>0</v>
      </c>
      <c r="K37" s="5" t="n">
        <f aca="false">G37-I37</f>
        <v>19191.9</v>
      </c>
      <c r="L37" s="6" t="n">
        <f aca="false">IF($K$86=0,"",K37/$K$86)</f>
        <v>0.0501541296281943</v>
      </c>
      <c r="M37" s="6" t="n">
        <f aca="false">IF(G37=0,"",K37/G37)</f>
        <v>1</v>
      </c>
      <c r="N37" s="5" t="n">
        <f aca="false">SUMIFS(Dettaglio!$M$5:$M$126,Dettaglio!$B$5:$B$126,B37)</f>
        <v>19023.04</v>
      </c>
      <c r="O37" s="5" t="n">
        <f aca="false">G37-N37</f>
        <v>168.860000000001</v>
      </c>
      <c r="P37" s="10" t="n">
        <f aca="false">COUNTIFS(Dettaglio!$B$5:$B$126,B37,Dettaglio!$D$5:$D$126,"Quadro")+COUNTIFS(Dettaglio!$B$5:$B$126,B37,Dettaglio!$D$5:$D$126,"Variante")</f>
        <v>0</v>
      </c>
      <c r="Q37" s="4"/>
    </row>
    <row r="38" customFormat="false" ht="15" hidden="false" customHeight="false" outlineLevel="0" collapsed="false">
      <c r="A38" s="4" t="s">
        <v>18</v>
      </c>
      <c r="B38" s="4" t="s">
        <v>139</v>
      </c>
      <c r="C38" s="4" t="s">
        <v>140</v>
      </c>
      <c r="D38" s="4" t="s">
        <v>135</v>
      </c>
      <c r="E38" s="4" t="s">
        <v>136</v>
      </c>
      <c r="F38" s="4" t="s">
        <v>47</v>
      </c>
      <c r="G38" s="5" t="n">
        <f aca="false">SUMIFS(Dettaglio!$I$5:$I$126,Dettaglio!$B$5:$B$126,B38)</f>
        <v>17214.5</v>
      </c>
      <c r="H38" s="6" t="n">
        <f aca="false">IF($G$86=0,"",G38/$G$86)</f>
        <v>0.00998573069276997</v>
      </c>
      <c r="I38" s="5" t="n">
        <f aca="false">SUMIFS(Dettaglio!$J$5:$J$126,Dettaglio!$B$5:$B$126,B38)</f>
        <v>0</v>
      </c>
      <c r="J38" s="6" t="n">
        <f aca="false">IF($I$86=0,"",I38/$I$86)</f>
        <v>0</v>
      </c>
      <c r="K38" s="5" t="n">
        <f aca="false">G38-I38</f>
        <v>17214.5</v>
      </c>
      <c r="L38" s="6" t="n">
        <f aca="false">IF($K$86=0,"",K38/$K$86)</f>
        <v>0.0449865966623706</v>
      </c>
      <c r="M38" s="6" t="n">
        <f aca="false">IF(G38=0,"",K38/G38)</f>
        <v>1</v>
      </c>
      <c r="N38" s="5" t="n">
        <f aca="false">SUMIFS(Dettaglio!$M$5:$M$126,Dettaglio!$B$5:$B$126,B38)</f>
        <v>17282.8</v>
      </c>
      <c r="O38" s="5" t="n">
        <f aca="false">G38-N38</f>
        <v>-68.2999999999993</v>
      </c>
      <c r="P38" s="10" t="n">
        <f aca="false">COUNTIFS(Dettaglio!$B$5:$B$126,B38,Dettaglio!$D$5:$D$126,"Quadro")+COUNTIFS(Dettaglio!$B$5:$B$126,B38,Dettaglio!$D$5:$D$126,"Variante")</f>
        <v>0</v>
      </c>
      <c r="Q38" s="4"/>
    </row>
    <row r="39" customFormat="false" ht="15" hidden="false" customHeight="false" outlineLevel="0" collapsed="false">
      <c r="A39" s="4" t="s">
        <v>18</v>
      </c>
      <c r="B39" s="4" t="s">
        <v>141</v>
      </c>
      <c r="C39" s="4" t="s">
        <v>142</v>
      </c>
      <c r="D39" s="4" t="s">
        <v>143</v>
      </c>
      <c r="E39" s="4" t="s">
        <v>144</v>
      </c>
      <c r="F39" s="4" t="s">
        <v>47</v>
      </c>
      <c r="G39" s="5" t="n">
        <f aca="false">SUMIFS(Dettaglio!$I$5:$I$126,Dettaglio!$B$5:$B$126,B39)</f>
        <v>1043.27</v>
      </c>
      <c r="H39" s="6" t="n">
        <f aca="false">IF($G$86=0,"",G39/$G$86)</f>
        <v>0.000605176639451981</v>
      </c>
      <c r="I39" s="5" t="n">
        <f aca="false">SUMIFS(Dettaglio!$J$5:$J$126,Dettaglio!$B$5:$B$126,B39)</f>
        <v>0</v>
      </c>
      <c r="J39" s="6" t="n">
        <f aca="false">IF($I$86=0,"",I39/$I$86)</f>
        <v>0</v>
      </c>
      <c r="K39" s="5" t="n">
        <f aca="false">G39-I39</f>
        <v>1043.27</v>
      </c>
      <c r="L39" s="6" t="n">
        <f aca="false">IF($K$86=0,"",K39/$K$86)</f>
        <v>0.00272637408579694</v>
      </c>
      <c r="M39" s="6" t="n">
        <f aca="false">IF(G39=0,"",K39/G39)</f>
        <v>1</v>
      </c>
      <c r="N39" s="5" t="n">
        <f aca="false">SUMIFS(Dettaglio!$M$5:$M$126,Dettaglio!$B$5:$B$126,B39)</f>
        <v>1043.22</v>
      </c>
      <c r="O39" s="5" t="n">
        <f aca="false">G39-N39</f>
        <v>0.0499999999999545</v>
      </c>
      <c r="P39" s="10" t="n">
        <f aca="false">COUNTIFS(Dettaglio!$B$5:$B$126,B39,Dettaglio!$D$5:$D$126,"Quadro")+COUNTIFS(Dettaglio!$B$5:$B$126,B39,Dettaglio!$D$5:$D$126,"Variante")</f>
        <v>0</v>
      </c>
      <c r="Q39" s="4"/>
    </row>
    <row r="40" customFormat="false" ht="15" hidden="false" customHeight="false" outlineLevel="0" collapsed="false">
      <c r="A40" s="4" t="s">
        <v>18</v>
      </c>
      <c r="B40" s="4" t="s">
        <v>145</v>
      </c>
      <c r="C40" s="4" t="s">
        <v>146</v>
      </c>
      <c r="D40" s="4" t="s">
        <v>147</v>
      </c>
      <c r="E40" s="4" t="s">
        <v>148</v>
      </c>
      <c r="F40" s="4" t="s">
        <v>47</v>
      </c>
      <c r="G40" s="5" t="n">
        <f aca="false">SUMIFS(Dettaglio!$I$5:$I$126,Dettaglio!$B$5:$B$126,B40)</f>
        <v>65.67</v>
      </c>
      <c r="H40" s="6" t="n">
        <f aca="false">IF($G$86=0,"",G40/$G$86)</f>
        <v>3.80936381883995E-005</v>
      </c>
      <c r="I40" s="5" t="n">
        <f aca="false">SUMIFS(Dettaglio!$J$5:$J$126,Dettaglio!$B$5:$B$126,B40)</f>
        <v>0</v>
      </c>
      <c r="J40" s="6" t="n">
        <f aca="false">IF($I$86=0,"",I40/$I$86)</f>
        <v>0</v>
      </c>
      <c r="K40" s="5" t="n">
        <f aca="false">G40-I40</f>
        <v>65.67</v>
      </c>
      <c r="L40" s="6" t="n">
        <f aca="false">IF($K$86=0,"",K40/$K$86)</f>
        <v>0.000171615196655022</v>
      </c>
      <c r="M40" s="6" t="n">
        <f aca="false">IF(G40=0,"",K40/G40)</f>
        <v>1</v>
      </c>
      <c r="N40" s="5" t="n">
        <f aca="false">SUMIFS(Dettaglio!$M$5:$M$126,Dettaglio!$B$5:$B$126,B40)</f>
        <v>65.67</v>
      </c>
      <c r="O40" s="5" t="n">
        <f aca="false">G40-N40</f>
        <v>0</v>
      </c>
      <c r="P40" s="10" t="n">
        <f aca="false">COUNTIFS(Dettaglio!$B$5:$B$126,B40,Dettaglio!$D$5:$D$126,"Quadro")+COUNTIFS(Dettaglio!$B$5:$B$126,B40,Dettaglio!$D$5:$D$126,"Variante")</f>
        <v>0</v>
      </c>
      <c r="Q40" s="4"/>
    </row>
    <row r="41" customFormat="false" ht="15" hidden="false" customHeight="false" outlineLevel="0" collapsed="false">
      <c r="A41" s="4" t="s">
        <v>18</v>
      </c>
      <c r="B41" s="4" t="s">
        <v>149</v>
      </c>
      <c r="C41" s="4" t="s">
        <v>150</v>
      </c>
      <c r="D41" s="4" t="s">
        <v>151</v>
      </c>
      <c r="E41" s="4" t="s">
        <v>152</v>
      </c>
      <c r="F41" s="4" t="s">
        <v>47</v>
      </c>
      <c r="G41" s="5" t="n">
        <f aca="false">SUMIFS(Dettaglio!$I$5:$I$126,Dettaglio!$B$5:$B$126,B41)</f>
        <v>1724.53</v>
      </c>
      <c r="H41" s="6" t="n">
        <f aca="false">IF($G$86=0,"",G41/$G$86)</f>
        <v>0.00100035970557394</v>
      </c>
      <c r="I41" s="5" t="n">
        <f aca="false">SUMIFS(Dettaglio!$J$5:$J$126,Dettaglio!$B$5:$B$126,B41)</f>
        <v>0</v>
      </c>
      <c r="J41" s="6" t="n">
        <f aca="false">IF($I$86=0,"",I41/$I$86)</f>
        <v>0</v>
      </c>
      <c r="K41" s="5" t="n">
        <f aca="false">G41-I41</f>
        <v>1724.53</v>
      </c>
      <c r="L41" s="6" t="n">
        <f aca="false">IF($K$86=0,"",K41/$K$86)</f>
        <v>0.00450670862018403</v>
      </c>
      <c r="M41" s="6" t="n">
        <f aca="false">IF(G41=0,"",K41/G41)</f>
        <v>1</v>
      </c>
      <c r="N41" s="5" t="n">
        <f aca="false">SUMIFS(Dettaglio!$M$5:$M$126,Dettaglio!$B$5:$B$126,B41)</f>
        <v>1724.53</v>
      </c>
      <c r="O41" s="5" t="n">
        <f aca="false">G41-N41</f>
        <v>0</v>
      </c>
      <c r="P41" s="10" t="n">
        <f aca="false">COUNTIFS(Dettaglio!$B$5:$B$126,B41,Dettaglio!$D$5:$D$126,"Quadro")+COUNTIFS(Dettaglio!$B$5:$B$126,B41,Dettaglio!$D$5:$D$126,"Variante")</f>
        <v>0</v>
      </c>
      <c r="Q41" s="4"/>
    </row>
    <row r="42" customFormat="false" ht="15" hidden="false" customHeight="false" outlineLevel="0" collapsed="false">
      <c r="A42" s="4" t="s">
        <v>18</v>
      </c>
      <c r="B42" s="4" t="s">
        <v>153</v>
      </c>
      <c r="C42" s="4" t="s">
        <v>154</v>
      </c>
      <c r="D42" s="4" t="s">
        <v>129</v>
      </c>
      <c r="E42" s="4" t="s">
        <v>130</v>
      </c>
      <c r="F42" s="4" t="s">
        <v>47</v>
      </c>
      <c r="G42" s="5" t="n">
        <f aca="false">SUMIFS(Dettaglio!$I$5:$I$126,Dettaglio!$B$5:$B$126,B42)</f>
        <v>2812.99</v>
      </c>
      <c r="H42" s="6" t="n">
        <f aca="false">IF($G$86=0,"",G42/$G$86)</f>
        <v>0.00163175001199309</v>
      </c>
      <c r="I42" s="5" t="n">
        <f aca="false">SUMIFS(Dettaglio!$J$5:$J$126,Dettaglio!$B$5:$B$126,B42)</f>
        <v>23</v>
      </c>
      <c r="J42" s="6" t="n">
        <f aca="false">IF($I$86=0,"",I42/$I$86)</f>
        <v>1.71481637433123E-005</v>
      </c>
      <c r="K42" s="5" t="n">
        <f aca="false">G42-I42</f>
        <v>2789.99</v>
      </c>
      <c r="L42" s="6" t="n">
        <f aca="false">IF($K$86=0,"",K42/$K$86)</f>
        <v>0.00729107176055344</v>
      </c>
      <c r="M42" s="6" t="n">
        <f aca="false">IF(G42=0,"",K42/G42)</f>
        <v>0.99182364672466</v>
      </c>
      <c r="N42" s="5" t="n">
        <f aca="false">SUMIFS(Dettaglio!$M$5:$M$126,Dettaglio!$B$5:$B$126,B42)</f>
        <v>2924.68</v>
      </c>
      <c r="O42" s="5" t="n">
        <f aca="false">G42-N42</f>
        <v>-111.69</v>
      </c>
      <c r="P42" s="10" t="n">
        <f aca="false">COUNTIFS(Dettaglio!$B$5:$B$126,B42,Dettaglio!$D$5:$D$126,"Quadro")+COUNTIFS(Dettaglio!$B$5:$B$126,B42,Dettaglio!$D$5:$D$126,"Variante")</f>
        <v>0</v>
      </c>
      <c r="Q42" s="4"/>
    </row>
    <row r="43" customFormat="false" ht="15" hidden="false" customHeight="false" outlineLevel="0" collapsed="false">
      <c r="A43" s="4" t="s">
        <v>18</v>
      </c>
      <c r="B43" s="4" t="s">
        <v>155</v>
      </c>
      <c r="C43" s="4" t="s">
        <v>156</v>
      </c>
      <c r="D43" s="4" t="s">
        <v>157</v>
      </c>
      <c r="E43" s="4" t="s">
        <v>158</v>
      </c>
      <c r="F43" s="4" t="s">
        <v>47</v>
      </c>
      <c r="G43" s="5" t="n">
        <f aca="false">SUMIFS(Dettaglio!$I$5:$I$126,Dettaglio!$B$5:$B$126,B43)</f>
        <v>260.16</v>
      </c>
      <c r="H43" s="6" t="n">
        <f aca="false">IF($G$86=0,"",G43/$G$86)</f>
        <v>0.000150912759419735</v>
      </c>
      <c r="I43" s="5" t="n">
        <f aca="false">SUMIFS(Dettaglio!$J$5:$J$126,Dettaglio!$B$5:$B$126,B43)</f>
        <v>0</v>
      </c>
      <c r="J43" s="6" t="n">
        <f aca="false">IF($I$86=0,"",I43/$I$86)</f>
        <v>0</v>
      </c>
      <c r="K43" s="5" t="n">
        <f aca="false">G43-I43</f>
        <v>260.16</v>
      </c>
      <c r="L43" s="6" t="n">
        <f aca="false">IF($K$86=0,"",K43/$K$86)</f>
        <v>0.000679875278845295</v>
      </c>
      <c r="M43" s="6" t="n">
        <f aca="false">IF(G43=0,"",K43/G43)</f>
        <v>1</v>
      </c>
      <c r="N43" s="5" t="n">
        <f aca="false">SUMIFS(Dettaglio!$M$5:$M$126,Dettaglio!$B$5:$B$126,B43)</f>
        <v>260.15</v>
      </c>
      <c r="O43" s="5" t="n">
        <f aca="false">G43-N43</f>
        <v>0.0100000000000477</v>
      </c>
      <c r="P43" s="10" t="n">
        <f aca="false">COUNTIFS(Dettaglio!$B$5:$B$126,B43,Dettaglio!$D$5:$D$126,"Quadro")+COUNTIFS(Dettaglio!$B$5:$B$126,B43,Dettaglio!$D$5:$D$126,"Variante")</f>
        <v>0</v>
      </c>
      <c r="Q43" s="4"/>
    </row>
    <row r="44" customFormat="false" ht="15" hidden="false" customHeight="false" outlineLevel="0" collapsed="false">
      <c r="A44" s="4" t="s">
        <v>18</v>
      </c>
      <c r="B44" s="4" t="s">
        <v>159</v>
      </c>
      <c r="C44" s="4" t="s">
        <v>160</v>
      </c>
      <c r="D44" s="4" t="s">
        <v>161</v>
      </c>
      <c r="E44" s="4" t="s">
        <v>162</v>
      </c>
      <c r="F44" s="4" t="s">
        <v>47</v>
      </c>
      <c r="G44" s="5" t="n">
        <f aca="false">SUMIFS(Dettaglio!$I$5:$I$126,Dettaglio!$B$5:$B$126,B44)</f>
        <v>101.02</v>
      </c>
      <c r="H44" s="6" t="n">
        <f aca="false">IF($G$86=0,"",G44/$G$86)</f>
        <v>5.85993502328631E-005</v>
      </c>
      <c r="I44" s="5" t="n">
        <f aca="false">SUMIFS(Dettaglio!$J$5:$J$126,Dettaglio!$B$5:$B$126,B44)</f>
        <v>0</v>
      </c>
      <c r="J44" s="6" t="n">
        <f aca="false">IF($I$86=0,"",I44/$I$86)</f>
        <v>0</v>
      </c>
      <c r="K44" s="5" t="n">
        <f aca="false">G44-I44</f>
        <v>101.02</v>
      </c>
      <c r="L44" s="6" t="n">
        <f aca="false">IF($K$86=0,"",K44/$K$86)</f>
        <v>0.000263995236273646</v>
      </c>
      <c r="M44" s="6" t="n">
        <f aca="false">IF(G44=0,"",K44/G44)</f>
        <v>1</v>
      </c>
      <c r="N44" s="5" t="n">
        <f aca="false">SUMIFS(Dettaglio!$M$5:$M$126,Dettaglio!$B$5:$B$126,B44)</f>
        <v>101.02</v>
      </c>
      <c r="O44" s="5" t="n">
        <f aca="false">G44-N44</f>
        <v>0</v>
      </c>
      <c r="P44" s="10" t="n">
        <f aca="false">COUNTIFS(Dettaglio!$B$5:$B$126,B44,Dettaglio!$D$5:$D$126,"Quadro")+COUNTIFS(Dettaglio!$B$5:$B$126,B44,Dettaglio!$D$5:$D$126,"Variante")</f>
        <v>0</v>
      </c>
      <c r="Q44" s="4"/>
    </row>
    <row r="45" customFormat="false" ht="15" hidden="false" customHeight="false" outlineLevel="0" collapsed="false">
      <c r="A45" s="4" t="s">
        <v>18</v>
      </c>
      <c r="B45" s="4" t="s">
        <v>163</v>
      </c>
      <c r="C45" s="4" t="s">
        <v>164</v>
      </c>
      <c r="D45" s="4" t="s">
        <v>165</v>
      </c>
      <c r="E45" s="4" t="s">
        <v>166</v>
      </c>
      <c r="F45" s="4" t="s">
        <v>47</v>
      </c>
      <c r="G45" s="5" t="n">
        <f aca="false">SUMIFS(Dettaglio!$I$5:$I$126,Dettaglio!$B$5:$B$126,B45)</f>
        <v>2493.41</v>
      </c>
      <c r="H45" s="6" t="n">
        <f aca="false">IF($G$86=0,"",G45/$G$86)</f>
        <v>0.00144636909388362</v>
      </c>
      <c r="I45" s="5" t="n">
        <f aca="false">SUMIFS(Dettaglio!$J$5:$J$126,Dettaglio!$B$5:$B$126,B45)</f>
        <v>0</v>
      </c>
      <c r="J45" s="6" t="n">
        <f aca="false">IF($I$86=0,"",I45/$I$86)</f>
        <v>0</v>
      </c>
      <c r="K45" s="5" t="n">
        <f aca="false">G45-I45</f>
        <v>2493.41</v>
      </c>
      <c r="L45" s="6" t="n">
        <f aca="false">IF($K$86=0,"",K45/$K$86)</f>
        <v>0.00651602021458198</v>
      </c>
      <c r="M45" s="6" t="n">
        <f aca="false">IF(G45=0,"",K45/G45)</f>
        <v>1</v>
      </c>
      <c r="N45" s="5" t="n">
        <f aca="false">SUMIFS(Dettaglio!$M$5:$M$126,Dettaglio!$B$5:$B$126,B45)</f>
        <v>2493.37</v>
      </c>
      <c r="O45" s="5" t="n">
        <f aca="false">G45-N45</f>
        <v>0.0399999999999636</v>
      </c>
      <c r="P45" s="10" t="n">
        <f aca="false">COUNTIFS(Dettaglio!$B$5:$B$126,B45,Dettaglio!$D$5:$D$126,"Quadro")+COUNTIFS(Dettaglio!$B$5:$B$126,B45,Dettaglio!$D$5:$D$126,"Variante")</f>
        <v>0</v>
      </c>
      <c r="Q45" s="4"/>
    </row>
    <row r="46" customFormat="false" ht="15" hidden="false" customHeight="false" outlineLevel="0" collapsed="false">
      <c r="A46" s="4" t="s">
        <v>18</v>
      </c>
      <c r="B46" s="4" t="s">
        <v>167</v>
      </c>
      <c r="C46" s="4" t="s">
        <v>168</v>
      </c>
      <c r="D46" s="4" t="s">
        <v>97</v>
      </c>
      <c r="E46" s="4" t="s">
        <v>98</v>
      </c>
      <c r="F46" s="4" t="s">
        <v>47</v>
      </c>
      <c r="G46" s="5" t="n">
        <f aca="false">SUMIFS(Dettaglio!$I$5:$I$126,Dettaglio!$B$5:$B$126,B46)</f>
        <v>1725.94</v>
      </c>
      <c r="H46" s="6" t="n">
        <f aca="false">IF($G$86=0,"",G46/$G$86)</f>
        <v>0.00100117761374884</v>
      </c>
      <c r="I46" s="5" t="n">
        <f aca="false">SUMIFS(Dettaglio!$J$5:$J$126,Dettaglio!$B$5:$B$126,B46)</f>
        <v>913</v>
      </c>
      <c r="J46" s="6" t="n">
        <f aca="false">IF($I$86=0,"",I46/$I$86)</f>
        <v>0.000680707543375833</v>
      </c>
      <c r="K46" s="5" t="n">
        <f aca="false">G46-I46</f>
        <v>812.94</v>
      </c>
      <c r="L46" s="6" t="n">
        <f aca="false">IF($K$86=0,"",K46/$K$86)</f>
        <v>0.00212445344858739</v>
      </c>
      <c r="M46" s="6" t="n">
        <f aca="false">IF(G46=0,"",K46/G46)</f>
        <v>0.471012897319721</v>
      </c>
      <c r="N46" s="5" t="n">
        <f aca="false">SUMIFS(Dettaglio!$M$5:$M$126,Dettaglio!$B$5:$B$126,B46)</f>
        <v>1725.93</v>
      </c>
      <c r="O46" s="5" t="n">
        <f aca="false">G46-N46</f>
        <v>0.00999999999999091</v>
      </c>
      <c r="P46" s="10" t="n">
        <f aca="false">COUNTIFS(Dettaglio!$B$5:$B$126,B46,Dettaglio!$D$5:$D$126,"Quadro")+COUNTIFS(Dettaglio!$B$5:$B$126,B46,Dettaglio!$D$5:$D$126,"Variante")</f>
        <v>0</v>
      </c>
      <c r="Q46" s="4"/>
    </row>
    <row r="47" customFormat="false" ht="15" hidden="false" customHeight="false" outlineLevel="0" collapsed="false">
      <c r="A47" s="4" t="s">
        <v>18</v>
      </c>
      <c r="B47" s="4" t="s">
        <v>169</v>
      </c>
      <c r="C47" s="4" t="s">
        <v>170</v>
      </c>
      <c r="D47" s="4" t="s">
        <v>171</v>
      </c>
      <c r="E47" s="4" t="s">
        <v>172</v>
      </c>
      <c r="F47" s="4" t="s">
        <v>47</v>
      </c>
      <c r="G47" s="5" t="n">
        <f aca="false">SUMIFS(Dettaglio!$I$5:$I$126,Dettaglio!$B$5:$B$126,B47)</f>
        <v>431.92</v>
      </c>
      <c r="H47" s="6" t="n">
        <f aca="false">IF($G$86=0,"",G47/$G$86)</f>
        <v>0.000250546736810317</v>
      </c>
      <c r="I47" s="5" t="n">
        <f aca="false">SUMIFS(Dettaglio!$J$5:$J$126,Dettaglio!$B$5:$B$126,B47)</f>
        <v>199.5</v>
      </c>
      <c r="J47" s="6" t="n">
        <f aca="false">IF($I$86=0,"",I47/$I$86)</f>
        <v>0.000148741681164818</v>
      </c>
      <c r="K47" s="5" t="n">
        <f aca="false">G47-I47</f>
        <v>232.42</v>
      </c>
      <c r="L47" s="6" t="n">
        <f aca="false">IF($K$86=0,"",K47/$K$86)</f>
        <v>0.000607382427387852</v>
      </c>
      <c r="M47" s="6" t="n">
        <f aca="false">IF(G47=0,"",K47/G47)</f>
        <v>0.538108909057233</v>
      </c>
      <c r="N47" s="5" t="n">
        <f aca="false">SUMIFS(Dettaglio!$M$5:$M$126,Dettaglio!$B$5:$B$126,B47)</f>
        <v>431.91</v>
      </c>
      <c r="O47" s="5" t="n">
        <f aca="false">G47-N47</f>
        <v>0.00999999999999091</v>
      </c>
      <c r="P47" s="10" t="n">
        <f aca="false">COUNTIFS(Dettaglio!$B$5:$B$126,B47,Dettaglio!$D$5:$D$126,"Quadro")+COUNTIFS(Dettaglio!$B$5:$B$126,B47,Dettaglio!$D$5:$D$126,"Variante")</f>
        <v>0</v>
      </c>
      <c r="Q47" s="4"/>
    </row>
    <row r="48" customFormat="false" ht="15" hidden="false" customHeight="false" outlineLevel="0" collapsed="false">
      <c r="A48" s="4" t="s">
        <v>18</v>
      </c>
      <c r="B48" s="4" t="s">
        <v>173</v>
      </c>
      <c r="C48" s="4" t="s">
        <v>174</v>
      </c>
      <c r="D48" s="4" t="s">
        <v>175</v>
      </c>
      <c r="E48" s="4" t="s">
        <v>176</v>
      </c>
      <c r="F48" s="4" t="s">
        <v>47</v>
      </c>
      <c r="G48" s="5" t="n">
        <f aca="false">SUMIFS(Dettaglio!$I$5:$I$126,Dettaglio!$B$5:$B$126,B48)</f>
        <v>6202.97</v>
      </c>
      <c r="H48" s="6" t="n">
        <f aca="false">IF($G$86=0,"",G48/$G$86)</f>
        <v>0.00359819849053596</v>
      </c>
      <c r="I48" s="5" t="n">
        <f aca="false">SUMIFS(Dettaglio!$J$5:$J$126,Dettaglio!$B$5:$B$126,B48)</f>
        <v>4118</v>
      </c>
      <c r="J48" s="6" t="n">
        <f aca="false">IF($I$86=0,"",I48/$I$86)</f>
        <v>0.00307026688238957</v>
      </c>
      <c r="K48" s="5" t="n">
        <f aca="false">G48-I48</f>
        <v>2084.97</v>
      </c>
      <c r="L48" s="6" t="n">
        <f aca="false">IF($K$86=0,"",K48/$K$86)</f>
        <v>0.00544864529571831</v>
      </c>
      <c r="M48" s="6" t="n">
        <f aca="false">IF(G48=0,"",K48/G48)</f>
        <v>0.336124469407397</v>
      </c>
      <c r="N48" s="5" t="n">
        <f aca="false">SUMIFS(Dettaglio!$M$5:$M$126,Dettaglio!$B$5:$B$126,B48)</f>
        <v>5968.55</v>
      </c>
      <c r="O48" s="5" t="n">
        <f aca="false">G48-N48</f>
        <v>234.42</v>
      </c>
      <c r="P48" s="10" t="n">
        <f aca="false">COUNTIFS(Dettaglio!$B$5:$B$126,B48,Dettaglio!$D$5:$D$126,"Quadro")+COUNTIFS(Dettaglio!$B$5:$B$126,B48,Dettaglio!$D$5:$D$126,"Variante")</f>
        <v>0</v>
      </c>
      <c r="Q48" s="4"/>
    </row>
    <row r="49" customFormat="false" ht="15" hidden="false" customHeight="false" outlineLevel="0" collapsed="false">
      <c r="A49" s="4" t="s">
        <v>18</v>
      </c>
      <c r="B49" s="4" t="s">
        <v>177</v>
      </c>
      <c r="C49" s="4" t="s">
        <v>178</v>
      </c>
      <c r="D49" s="4" t="s">
        <v>151</v>
      </c>
      <c r="E49" s="4" t="s">
        <v>152</v>
      </c>
      <c r="F49" s="4" t="s">
        <v>47</v>
      </c>
      <c r="G49" s="5" t="n">
        <f aca="false">SUMIFS(Dettaglio!$I$5:$I$126,Dettaglio!$B$5:$B$126,B49)</f>
        <v>2081.14</v>
      </c>
      <c r="H49" s="6" t="n">
        <f aca="false">IF($G$86=0,"",G49/$G$86)</f>
        <v>0.00120722086461711</v>
      </c>
      <c r="I49" s="5" t="n">
        <f aca="false">SUMIFS(Dettaglio!$J$5:$J$126,Dettaglio!$B$5:$B$126,B49)</f>
        <v>997</v>
      </c>
      <c r="J49" s="6" t="n">
        <f aca="false">IF($I$86=0,"",I49/$I$86)</f>
        <v>0.000743335619655756</v>
      </c>
      <c r="K49" s="5" t="n">
        <f aca="false">G49-I49</f>
        <v>1084.14</v>
      </c>
      <c r="L49" s="6" t="n">
        <f aca="false">IF($K$86=0,"",K49/$K$86)</f>
        <v>0.00283317952339844</v>
      </c>
      <c r="M49" s="6" t="n">
        <f aca="false">IF(G49=0,"",K49/G49)</f>
        <v>0.52093564104289</v>
      </c>
      <c r="N49" s="5" t="n">
        <f aca="false">SUMIFS(Dettaglio!$M$5:$M$126,Dettaglio!$B$5:$B$126,B49)</f>
        <v>2081.14</v>
      </c>
      <c r="O49" s="5" t="n">
        <f aca="false">G49-N49</f>
        <v>0</v>
      </c>
      <c r="P49" s="10" t="n">
        <f aca="false">COUNTIFS(Dettaglio!$B$5:$B$126,B49,Dettaglio!$D$5:$D$126,"Quadro")+COUNTIFS(Dettaglio!$B$5:$B$126,B49,Dettaglio!$D$5:$D$126,"Variante")</f>
        <v>0</v>
      </c>
      <c r="Q49" s="4"/>
    </row>
    <row r="50" customFormat="false" ht="15" hidden="false" customHeight="false" outlineLevel="0" collapsed="false">
      <c r="A50" s="4" t="s">
        <v>18</v>
      </c>
      <c r="B50" s="4" t="s">
        <v>179</v>
      </c>
      <c r="C50" s="4" t="s">
        <v>180</v>
      </c>
      <c r="D50" s="4" t="s">
        <v>181</v>
      </c>
      <c r="E50" s="4" t="s">
        <v>182</v>
      </c>
      <c r="F50" s="4" t="s">
        <v>47</v>
      </c>
      <c r="G50" s="5" t="n">
        <f aca="false">SUMIFS(Dettaglio!$I$5:$I$126,Dettaglio!$B$5:$B$126,B50)</f>
        <v>2158.8</v>
      </c>
      <c r="H50" s="6" t="n">
        <f aca="false">IF($G$86=0,"",G50/$G$86)</f>
        <v>0.00125226962267576</v>
      </c>
      <c r="I50" s="5" t="n">
        <f aca="false">SUMIFS(Dettaglio!$J$5:$J$126,Dettaglio!$B$5:$B$126,B50)</f>
        <v>387</v>
      </c>
      <c r="J50" s="6" t="n">
        <f aca="false">IF($I$86=0,"",I50/$I$86)</f>
        <v>0.000288536494289647</v>
      </c>
      <c r="K50" s="5" t="n">
        <f aca="false">G50-I50</f>
        <v>1771.8</v>
      </c>
      <c r="L50" s="6" t="n">
        <f aca="false">IF($K$86=0,"",K50/$K$86)</f>
        <v>0.00463023915689612</v>
      </c>
      <c r="M50" s="6" t="n">
        <f aca="false">IF(G50=0,"",K50/G50)</f>
        <v>0.820733740967204</v>
      </c>
      <c r="N50" s="5" t="n">
        <f aca="false">SUMIFS(Dettaglio!$M$5:$M$126,Dettaglio!$B$5:$B$126,B50)</f>
        <v>2262</v>
      </c>
      <c r="O50" s="5" t="n">
        <f aca="false">G50-N50</f>
        <v>-103.2</v>
      </c>
      <c r="P50" s="10" t="n">
        <f aca="false">COUNTIFS(Dettaglio!$B$5:$B$126,B50,Dettaglio!$D$5:$D$126,"Quadro")+COUNTIFS(Dettaglio!$B$5:$B$126,B50,Dettaglio!$D$5:$D$126,"Variante")</f>
        <v>0</v>
      </c>
      <c r="Q50" s="4"/>
    </row>
    <row r="51" customFormat="false" ht="15" hidden="false" customHeight="false" outlineLevel="0" collapsed="false">
      <c r="A51" s="4" t="s">
        <v>18</v>
      </c>
      <c r="B51" s="4" t="s">
        <v>183</v>
      </c>
      <c r="C51" s="4" t="s">
        <v>184</v>
      </c>
      <c r="D51" s="4" t="s">
        <v>97</v>
      </c>
      <c r="E51" s="4" t="s">
        <v>98</v>
      </c>
      <c r="F51" s="4" t="s">
        <v>47</v>
      </c>
      <c r="G51" s="5" t="n">
        <f aca="false">SUMIFS(Dettaglio!$I$5:$I$126,Dettaglio!$B$5:$B$126,B51)</f>
        <v>12520.54</v>
      </c>
      <c r="H51" s="6" t="n">
        <f aca="false">IF($G$86=0,"",G51/$G$86)</f>
        <v>0.00726287377315949</v>
      </c>
      <c r="I51" s="5" t="n">
        <f aca="false">SUMIFS(Dettaglio!$J$5:$J$126,Dettaglio!$B$5:$B$126,B51)</f>
        <v>6510.5</v>
      </c>
      <c r="J51" s="6" t="n">
        <f aca="false">IF($I$86=0,"",I51/$I$86)</f>
        <v>0.00485404869786239</v>
      </c>
      <c r="K51" s="5" t="n">
        <f aca="false">G51-I51</f>
        <v>6010.04</v>
      </c>
      <c r="L51" s="6" t="n">
        <f aca="false">IF($K$86=0,"",K51/$K$86)</f>
        <v>0.0157060179154035</v>
      </c>
      <c r="M51" s="6" t="n">
        <f aca="false">IF(G51=0,"",K51/G51)</f>
        <v>0.480014440271746</v>
      </c>
      <c r="N51" s="5" t="n">
        <f aca="false">SUMIFS(Dettaglio!$M$5:$M$126,Dettaglio!$B$5:$B$126,B51)</f>
        <v>12520.56</v>
      </c>
      <c r="O51" s="5" t="n">
        <f aca="false">G51-N51</f>
        <v>-0.0199999999986176</v>
      </c>
      <c r="P51" s="10" t="n">
        <f aca="false">COUNTIFS(Dettaglio!$B$5:$B$126,B51,Dettaglio!$D$5:$D$126,"Quadro")+COUNTIFS(Dettaglio!$B$5:$B$126,B51,Dettaglio!$D$5:$D$126,"Variante")</f>
        <v>0</v>
      </c>
      <c r="Q51" s="4"/>
    </row>
    <row r="52" customFormat="false" ht="15" hidden="false" customHeight="false" outlineLevel="0" collapsed="false">
      <c r="A52" s="4" t="s">
        <v>18</v>
      </c>
      <c r="B52" s="4" t="s">
        <v>185</v>
      </c>
      <c r="C52" s="4" t="s">
        <v>184</v>
      </c>
      <c r="D52" s="4" t="s">
        <v>143</v>
      </c>
      <c r="E52" s="4" t="s">
        <v>144</v>
      </c>
      <c r="F52" s="4" t="s">
        <v>47</v>
      </c>
      <c r="G52" s="5" t="n">
        <f aca="false">SUMIFS(Dettaglio!$I$5:$I$126,Dettaglio!$B$5:$B$126,B52)</f>
        <v>1563.95</v>
      </c>
      <c r="H52" s="6" t="n">
        <f aca="false">IF($G$86=0,"",G52/$G$86)</f>
        <v>0.000907210985910575</v>
      </c>
      <c r="I52" s="5" t="n">
        <f aca="false">SUMIFS(Dettaglio!$J$5:$J$126,Dettaglio!$B$5:$B$126,B52)</f>
        <v>804.5</v>
      </c>
      <c r="J52" s="6" t="n">
        <f aca="false">IF($I$86=0,"",I52/$I$86)</f>
        <v>0.000599812944847599</v>
      </c>
      <c r="K52" s="5" t="n">
        <f aca="false">G52-I52</f>
        <v>759.45</v>
      </c>
      <c r="L52" s="6" t="n">
        <f aca="false">IF($K$86=0,"",K52/$K$86)</f>
        <v>0.0019846682061772</v>
      </c>
      <c r="M52" s="6" t="n">
        <f aca="false">IF(G52=0,"",K52/G52)</f>
        <v>0.485597365644682</v>
      </c>
      <c r="N52" s="5" t="n">
        <f aca="false">SUMIFS(Dettaglio!$M$5:$M$126,Dettaglio!$B$5:$B$126,B52)</f>
        <v>1563.93</v>
      </c>
      <c r="O52" s="5" t="n">
        <f aca="false">G52-N52</f>
        <v>0.0199999999999818</v>
      </c>
      <c r="P52" s="10" t="n">
        <f aca="false">COUNTIFS(Dettaglio!$B$5:$B$126,B52,Dettaglio!$D$5:$D$126,"Quadro")+COUNTIFS(Dettaglio!$B$5:$B$126,B52,Dettaglio!$D$5:$D$126,"Variante")</f>
        <v>0</v>
      </c>
      <c r="Q52" s="4"/>
    </row>
    <row r="53" customFormat="false" ht="15" hidden="false" customHeight="false" outlineLevel="0" collapsed="false">
      <c r="A53" s="4" t="s">
        <v>18</v>
      </c>
      <c r="B53" s="4" t="s">
        <v>186</v>
      </c>
      <c r="C53" s="4" t="s">
        <v>187</v>
      </c>
      <c r="D53" s="4" t="s">
        <v>129</v>
      </c>
      <c r="E53" s="4" t="s">
        <v>130</v>
      </c>
      <c r="F53" s="4" t="s">
        <v>47</v>
      </c>
      <c r="G53" s="5" t="n">
        <f aca="false">SUMIFS(Dettaglio!$I$5:$I$126,Dettaglio!$B$5:$B$126,B53)</f>
        <v>216.68</v>
      </c>
      <c r="H53" s="6" t="n">
        <f aca="false">IF($G$86=0,"",G53/$G$86)</f>
        <v>0.000125691023643405</v>
      </c>
      <c r="I53" s="5" t="n">
        <f aca="false">SUMIFS(Dettaglio!$J$5:$J$126,Dettaglio!$B$5:$B$126,B53)</f>
        <v>0</v>
      </c>
      <c r="J53" s="6" t="n">
        <f aca="false">IF($I$86=0,"",I53/$I$86)</f>
        <v>0</v>
      </c>
      <c r="K53" s="5" t="n">
        <f aca="false">G53-I53</f>
        <v>216.68</v>
      </c>
      <c r="L53" s="6" t="n">
        <f aca="false">IF($K$86=0,"",K53/$K$86)</f>
        <v>0.000566249136762756</v>
      </c>
      <c r="M53" s="6" t="n">
        <f aca="false">IF(G53=0,"",K53/G53)</f>
        <v>1</v>
      </c>
      <c r="N53" s="5" t="n">
        <f aca="false">SUMIFS(Dettaglio!$M$5:$M$126,Dettaglio!$B$5:$B$126,B53)</f>
        <v>17955.88</v>
      </c>
      <c r="O53" s="5" t="n">
        <f aca="false">G53-N53</f>
        <v>-17739.2</v>
      </c>
      <c r="P53" s="10" t="n">
        <f aca="false">COUNTIFS(Dettaglio!$B$5:$B$126,B53,Dettaglio!$D$5:$D$126,"Quadro")+COUNTIFS(Dettaglio!$B$5:$B$126,B53,Dettaglio!$D$5:$D$126,"Variante")</f>
        <v>0</v>
      </c>
      <c r="Q53" s="4"/>
    </row>
    <row r="54" customFormat="false" ht="15" hidden="false" customHeight="false" outlineLevel="0" collapsed="false">
      <c r="A54" s="4" t="s">
        <v>18</v>
      </c>
      <c r="B54" s="4" t="s">
        <v>188</v>
      </c>
      <c r="C54" s="4" t="s">
        <v>189</v>
      </c>
      <c r="D54" s="4" t="s">
        <v>190</v>
      </c>
      <c r="E54" s="4" t="s">
        <v>191</v>
      </c>
      <c r="F54" s="4" t="s">
        <v>47</v>
      </c>
      <c r="G54" s="5" t="n">
        <f aca="false">SUMIFS(Dettaglio!$I$5:$I$126,Dettaglio!$B$5:$B$126,B54)</f>
        <v>181</v>
      </c>
      <c r="H54" s="6" t="n">
        <f aca="false">IF($G$86=0,"",G54/$G$86)</f>
        <v>0.000104993886281412</v>
      </c>
      <c r="I54" s="5" t="n">
        <f aca="false">SUMIFS(Dettaglio!$J$5:$J$126,Dettaglio!$B$5:$B$126,B54)</f>
        <v>66</v>
      </c>
      <c r="J54" s="6" t="n">
        <f aca="false">IF($I$86=0,"",I54/$I$86)</f>
        <v>4.92077742199397E-005</v>
      </c>
      <c r="K54" s="5" t="n">
        <f aca="false">G54-I54</f>
        <v>115</v>
      </c>
      <c r="L54" s="6" t="n">
        <f aca="false">IF($K$86=0,"",K54/$K$86)</f>
        <v>0.000300529124643331</v>
      </c>
      <c r="M54" s="6" t="n">
        <f aca="false">IF(G54=0,"",K54/G54)</f>
        <v>0.6353591160221</v>
      </c>
      <c r="N54" s="5" t="n">
        <f aca="false">SUMIFS(Dettaglio!$M$5:$M$126,Dettaglio!$B$5:$B$126,B54)</f>
        <v>98</v>
      </c>
      <c r="O54" s="5" t="n">
        <f aca="false">G54-N54</f>
        <v>83</v>
      </c>
      <c r="P54" s="10" t="n">
        <f aca="false">COUNTIFS(Dettaglio!$B$5:$B$126,B54,Dettaglio!$D$5:$D$126,"Quadro")+COUNTIFS(Dettaglio!$B$5:$B$126,B54,Dettaglio!$D$5:$D$126,"Variante")</f>
        <v>0</v>
      </c>
      <c r="Q54" s="4"/>
    </row>
    <row r="55" customFormat="false" ht="15" hidden="false" customHeight="false" outlineLevel="0" collapsed="false">
      <c r="A55" s="4" t="s">
        <v>18</v>
      </c>
      <c r="B55" s="4" t="s">
        <v>192</v>
      </c>
      <c r="C55" s="4" t="s">
        <v>189</v>
      </c>
      <c r="D55" s="4" t="s">
        <v>57</v>
      </c>
      <c r="E55" s="4" t="s">
        <v>58</v>
      </c>
      <c r="F55" s="4" t="s">
        <v>47</v>
      </c>
      <c r="G55" s="5" t="n">
        <f aca="false">SUMIFS(Dettaglio!$I$5:$I$126,Dettaglio!$B$5:$B$126,B55)</f>
        <v>3959.96</v>
      </c>
      <c r="H55" s="6" t="n">
        <f aca="false">IF($G$86=0,"",G55/$G$86)</f>
        <v>0.00229708060728696</v>
      </c>
      <c r="I55" s="5" t="n">
        <f aca="false">SUMIFS(Dettaglio!$J$5:$J$126,Dettaglio!$B$5:$B$126,B55)</f>
        <v>1883</v>
      </c>
      <c r="J55" s="6" t="n">
        <f aca="false">IF($I$86=0,"",I55/$I$86)</f>
        <v>0.00140391270994161</v>
      </c>
      <c r="K55" s="5" t="n">
        <f aca="false">G55-I55</f>
        <v>2076.96</v>
      </c>
      <c r="L55" s="6" t="n">
        <f aca="false">IF($K$86=0,"",K55/$K$86)</f>
        <v>0.00542771278886271</v>
      </c>
      <c r="M55" s="6" t="n">
        <f aca="false">IF(G55=0,"",K55/G55)</f>
        <v>0.524490146365115</v>
      </c>
      <c r="N55" s="5" t="n">
        <f aca="false">SUMIFS(Dettaglio!$M$5:$M$126,Dettaglio!$B$5:$B$126,B55)</f>
        <v>3692.93</v>
      </c>
      <c r="O55" s="5" t="n">
        <f aca="false">G55-N55</f>
        <v>267.03</v>
      </c>
      <c r="P55" s="10" t="n">
        <f aca="false">COUNTIFS(Dettaglio!$B$5:$B$126,B55,Dettaglio!$D$5:$D$126,"Quadro")+COUNTIFS(Dettaglio!$B$5:$B$126,B55,Dettaglio!$D$5:$D$126,"Variante")</f>
        <v>0</v>
      </c>
      <c r="Q55" s="4"/>
    </row>
    <row r="56" customFormat="false" ht="15" hidden="false" customHeight="false" outlineLevel="0" collapsed="false">
      <c r="A56" s="4" t="s">
        <v>18</v>
      </c>
      <c r="B56" s="4" t="s">
        <v>193</v>
      </c>
      <c r="C56" s="4" t="s">
        <v>194</v>
      </c>
      <c r="D56" s="4" t="s">
        <v>165</v>
      </c>
      <c r="E56" s="4" t="s">
        <v>166</v>
      </c>
      <c r="F56" s="4" t="s">
        <v>47</v>
      </c>
      <c r="G56" s="5" t="n">
        <f aca="false">SUMIFS(Dettaglio!$I$5:$I$126,Dettaglio!$B$5:$B$126,B56)</f>
        <v>194.69</v>
      </c>
      <c r="H56" s="6" t="n">
        <f aca="false">IF($G$86=0,"",G56/$G$86)</f>
        <v>0.000112935136575293</v>
      </c>
      <c r="I56" s="5" t="n">
        <f aca="false">SUMIFS(Dettaglio!$J$5:$J$126,Dettaglio!$B$5:$B$126,B56)</f>
        <v>34.5</v>
      </c>
      <c r="J56" s="6" t="n">
        <f aca="false">IF($I$86=0,"",I56/$I$86)</f>
        <v>2.57222456149685E-005</v>
      </c>
      <c r="K56" s="5" t="n">
        <f aca="false">G56-I56</f>
        <v>160.19</v>
      </c>
      <c r="L56" s="6" t="n">
        <f aca="false">IF($K$86=0,"",K56/$K$86)</f>
        <v>0.00041862400414448</v>
      </c>
      <c r="M56" s="6" t="n">
        <f aca="false">IF(G56=0,"",K56/G56)</f>
        <v>0.822795212902563</v>
      </c>
      <c r="N56" s="5" t="n">
        <f aca="false">SUMIFS(Dettaglio!$M$5:$M$126,Dettaglio!$B$5:$B$126,B56)</f>
        <v>194.68</v>
      </c>
      <c r="O56" s="5" t="n">
        <f aca="false">G56-N56</f>
        <v>0.00999999999999091</v>
      </c>
      <c r="P56" s="10" t="n">
        <f aca="false">COUNTIFS(Dettaglio!$B$5:$B$126,B56,Dettaglio!$D$5:$D$126,"Quadro")+COUNTIFS(Dettaglio!$B$5:$B$126,B56,Dettaglio!$D$5:$D$126,"Variante")</f>
        <v>0</v>
      </c>
      <c r="Q56" s="4"/>
    </row>
    <row r="57" customFormat="false" ht="15" hidden="false" customHeight="false" outlineLevel="0" collapsed="false">
      <c r="A57" s="4" t="s">
        <v>18</v>
      </c>
      <c r="B57" s="4" t="s">
        <v>195</v>
      </c>
      <c r="C57" s="4" t="s">
        <v>196</v>
      </c>
      <c r="D57" s="4" t="s">
        <v>197</v>
      </c>
      <c r="E57" s="4" t="s">
        <v>198</v>
      </c>
      <c r="F57" s="4" t="s">
        <v>47</v>
      </c>
      <c r="G57" s="5" t="n">
        <f aca="false">SUMIFS(Dettaglio!$I$5:$I$126,Dettaglio!$B$5:$B$126,B57)</f>
        <v>148.4</v>
      </c>
      <c r="H57" s="6" t="n">
        <f aca="false">IF($G$86=0,"",G57/$G$86)</f>
        <v>8.6083385216362E-005</v>
      </c>
      <c r="I57" s="5" t="n">
        <f aca="false">SUMIFS(Dettaglio!$J$5:$J$126,Dettaglio!$B$5:$B$126,B57)</f>
        <v>92</v>
      </c>
      <c r="J57" s="6" t="n">
        <f aca="false">IF($I$86=0,"",I57/$I$86)</f>
        <v>6.85926549732493E-005</v>
      </c>
      <c r="K57" s="5" t="n">
        <f aca="false">G57-I57</f>
        <v>56.4</v>
      </c>
      <c r="L57" s="6" t="n">
        <f aca="false">IF($K$86=0,"",K57/$K$86)</f>
        <v>0.000147389935912034</v>
      </c>
      <c r="M57" s="6" t="n">
        <f aca="false">IF(G57=0,"",K57/G57)</f>
        <v>0.380053908355795</v>
      </c>
      <c r="N57" s="5" t="n">
        <f aca="false">SUMIFS(Dettaglio!$M$5:$M$126,Dettaglio!$B$5:$B$126,B57)</f>
        <v>148.4</v>
      </c>
      <c r="O57" s="5" t="n">
        <f aca="false">G57-N57</f>
        <v>0</v>
      </c>
      <c r="P57" s="10" t="n">
        <f aca="false">COUNTIFS(Dettaglio!$B$5:$B$126,B57,Dettaglio!$D$5:$D$126,"Quadro")+COUNTIFS(Dettaglio!$B$5:$B$126,B57,Dettaglio!$D$5:$D$126,"Variante")</f>
        <v>0</v>
      </c>
      <c r="Q57" s="4"/>
    </row>
    <row r="58" customFormat="false" ht="15" hidden="false" customHeight="false" outlineLevel="0" collapsed="false">
      <c r="A58" s="4" t="s">
        <v>18</v>
      </c>
      <c r="B58" s="4" t="s">
        <v>199</v>
      </c>
      <c r="C58" s="4" t="s">
        <v>200</v>
      </c>
      <c r="D58" s="4" t="s">
        <v>201</v>
      </c>
      <c r="E58" s="4" t="s">
        <v>202</v>
      </c>
      <c r="F58" s="4" t="s">
        <v>47</v>
      </c>
      <c r="G58" s="5" t="n">
        <f aca="false">SUMIFS(Dettaglio!$I$5:$I$126,Dettaglio!$B$5:$B$126,B58)</f>
        <v>315</v>
      </c>
      <c r="H58" s="6" t="n">
        <f aca="false">IF($G$86=0,"",G58/$G$86)</f>
        <v>0.000182724166732844</v>
      </c>
      <c r="I58" s="5" t="n">
        <f aca="false">SUMIFS(Dettaglio!$J$5:$J$126,Dettaglio!$B$5:$B$126,B58)</f>
        <v>230</v>
      </c>
      <c r="J58" s="6" t="n">
        <f aca="false">IF($I$86=0,"",I58/$I$86)</f>
        <v>0.000171481637433123</v>
      </c>
      <c r="K58" s="5" t="n">
        <f aca="false">G58-I58</f>
        <v>85</v>
      </c>
      <c r="L58" s="6" t="n">
        <f aca="false">IF($K$86=0,"",K58/$K$86)</f>
        <v>0.000222130222562462</v>
      </c>
      <c r="M58" s="6" t="n">
        <f aca="false">IF(G58=0,"",K58/G58)</f>
        <v>0.26984126984127</v>
      </c>
      <c r="N58" s="5" t="n">
        <f aca="false">SUMIFS(Dettaglio!$M$5:$M$126,Dettaglio!$B$5:$B$126,B58)</f>
        <v>315</v>
      </c>
      <c r="O58" s="5" t="n">
        <f aca="false">G58-N58</f>
        <v>0</v>
      </c>
      <c r="P58" s="10" t="n">
        <f aca="false">COUNTIFS(Dettaglio!$B$5:$B$126,B58,Dettaglio!$D$5:$D$126,"Quadro")+COUNTIFS(Dettaglio!$B$5:$B$126,B58,Dettaglio!$D$5:$D$126,"Variante")</f>
        <v>0</v>
      </c>
      <c r="Q58" s="4"/>
    </row>
    <row r="59" customFormat="false" ht="15" hidden="false" customHeight="false" outlineLevel="0" collapsed="false">
      <c r="A59" s="4" t="s">
        <v>18</v>
      </c>
      <c r="B59" s="4" t="s">
        <v>203</v>
      </c>
      <c r="C59" s="4" t="s">
        <v>204</v>
      </c>
      <c r="D59" s="4" t="s">
        <v>175</v>
      </c>
      <c r="E59" s="4" t="s">
        <v>176</v>
      </c>
      <c r="F59" s="4" t="s">
        <v>47</v>
      </c>
      <c r="G59" s="5" t="n">
        <f aca="false">SUMIFS(Dettaglio!$I$5:$I$126,Dettaglio!$B$5:$B$126,B59)</f>
        <v>14110.98</v>
      </c>
      <c r="H59" s="6" t="n">
        <f aca="false">IF($G$86=0,"",G59/$G$86)</f>
        <v>0.00818545099137722</v>
      </c>
      <c r="I59" s="5" t="n">
        <f aca="false">SUMIFS(Dettaglio!$J$5:$J$126,Dettaglio!$B$5:$B$126,B59)</f>
        <v>6537</v>
      </c>
      <c r="J59" s="6" t="n">
        <f aca="false">IF($I$86=0,"",I59/$I$86)</f>
        <v>0.00487380636478403</v>
      </c>
      <c r="K59" s="5" t="n">
        <f aca="false">G59-I59</f>
        <v>7573.98</v>
      </c>
      <c r="L59" s="6" t="n">
        <f aca="false">IF($K$86=0,"",K59/$K$86)</f>
        <v>0.0197930572127486</v>
      </c>
      <c r="M59" s="6" t="n">
        <f aca="false">IF(G59=0,"",K59/G59)</f>
        <v>0.536743727225182</v>
      </c>
      <c r="N59" s="5" t="n">
        <f aca="false">SUMIFS(Dettaglio!$M$5:$M$126,Dettaglio!$B$5:$B$126,B59)</f>
        <v>14114.6</v>
      </c>
      <c r="O59" s="5" t="n">
        <f aca="false">G59-N59</f>
        <v>-3.6200000000008</v>
      </c>
      <c r="P59" s="10" t="n">
        <f aca="false">COUNTIFS(Dettaglio!$B$5:$B$126,B59,Dettaglio!$D$5:$D$126,"Quadro")+COUNTIFS(Dettaglio!$B$5:$B$126,B59,Dettaglio!$D$5:$D$126,"Variante")</f>
        <v>0</v>
      </c>
      <c r="Q59" s="4"/>
    </row>
    <row r="60" customFormat="false" ht="15" hidden="false" customHeight="false" outlineLevel="0" collapsed="false">
      <c r="A60" s="4" t="s">
        <v>18</v>
      </c>
      <c r="B60" s="4" t="s">
        <v>205</v>
      </c>
      <c r="C60" s="4" t="s">
        <v>206</v>
      </c>
      <c r="D60" s="4" t="s">
        <v>207</v>
      </c>
      <c r="E60" s="4" t="s">
        <v>208</v>
      </c>
      <c r="F60" s="4" t="s">
        <v>47</v>
      </c>
      <c r="G60" s="5" t="n">
        <f aca="false">SUMIFS(Dettaglio!$I$5:$I$126,Dettaglio!$B$5:$B$126,B60)</f>
        <v>60</v>
      </c>
      <c r="H60" s="6" t="n">
        <f aca="false">IF($G$86=0,"",G60/$G$86)</f>
        <v>3.48046031872083E-005</v>
      </c>
      <c r="I60" s="5" t="n">
        <f aca="false">SUMIFS(Dettaglio!$J$5:$J$126,Dettaglio!$B$5:$B$126,B60)</f>
        <v>46</v>
      </c>
      <c r="J60" s="6" t="n">
        <f aca="false">IF($I$86=0,"",I60/$I$86)</f>
        <v>3.42963274866247E-005</v>
      </c>
      <c r="K60" s="5" t="n">
        <f aca="false">G60-I60</f>
        <v>14</v>
      </c>
      <c r="L60" s="6" t="n">
        <f aca="false">IF($K$86=0,"",K60/$K$86)</f>
        <v>3.65861543044055E-005</v>
      </c>
      <c r="M60" s="6" t="n">
        <f aca="false">IF(G60=0,"",K60/G60)</f>
        <v>0.233333333333333</v>
      </c>
      <c r="N60" s="5" t="n">
        <f aca="false">SUMIFS(Dettaglio!$M$5:$M$126,Dettaglio!$B$5:$B$126,B60)</f>
        <v>60</v>
      </c>
      <c r="O60" s="5" t="n">
        <f aca="false">G60-N60</f>
        <v>0</v>
      </c>
      <c r="P60" s="10" t="n">
        <f aca="false">COUNTIFS(Dettaglio!$B$5:$B$126,B60,Dettaglio!$D$5:$D$126,"Quadro")+COUNTIFS(Dettaglio!$B$5:$B$126,B60,Dettaglio!$D$5:$D$126,"Variante")</f>
        <v>0</v>
      </c>
      <c r="Q60" s="4"/>
    </row>
    <row r="61" customFormat="false" ht="15" hidden="false" customHeight="false" outlineLevel="0" collapsed="false">
      <c r="A61" s="4" t="s">
        <v>18</v>
      </c>
      <c r="B61" s="4" t="s">
        <v>209</v>
      </c>
      <c r="C61" s="4" t="s">
        <v>210</v>
      </c>
      <c r="D61" s="4" t="s">
        <v>129</v>
      </c>
      <c r="E61" s="4" t="s">
        <v>130</v>
      </c>
      <c r="F61" s="4" t="s">
        <v>47</v>
      </c>
      <c r="G61" s="5" t="n">
        <f aca="false">SUMIFS(Dettaglio!$I$5:$I$126,Dettaglio!$B$5:$B$126,B61)</f>
        <v>0</v>
      </c>
      <c r="H61" s="6" t="n">
        <f aca="false">IF($G$86=0,"",G61/$G$86)</f>
        <v>0</v>
      </c>
      <c r="I61" s="5" t="n">
        <f aca="false">SUMIFS(Dettaglio!$J$5:$J$126,Dettaglio!$B$5:$B$126,B61)</f>
        <v>0</v>
      </c>
      <c r="J61" s="6" t="n">
        <f aca="false">IF($I$86=0,"",I61/$I$86)</f>
        <v>0</v>
      </c>
      <c r="K61" s="5" t="n">
        <f aca="false">G61-I61</f>
        <v>0</v>
      </c>
      <c r="L61" s="6" t="n">
        <f aca="false">IF($K$86=0,"",K61/$K$86)</f>
        <v>0</v>
      </c>
      <c r="M61" s="6" t="str">
        <f aca="false">IF(G61=0,"",K61/G61)</f>
        <v/>
      </c>
      <c r="N61" s="5" t="n">
        <f aca="false">SUMIFS(Dettaglio!$M$5:$M$126,Dettaglio!$B$5:$B$126,B61)</f>
        <v>3144</v>
      </c>
      <c r="O61" s="5" t="n">
        <f aca="false">G61-N61</f>
        <v>-3144</v>
      </c>
      <c r="P61" s="10" t="n">
        <f aca="false">COUNTIFS(Dettaglio!$B$5:$B$126,B61,Dettaglio!$D$5:$D$126,"Quadro")+COUNTIFS(Dettaglio!$B$5:$B$126,B61,Dettaglio!$D$5:$D$126,"Variante")</f>
        <v>0</v>
      </c>
      <c r="Q61" s="4"/>
    </row>
    <row r="62" customFormat="false" ht="15" hidden="false" customHeight="false" outlineLevel="0" collapsed="false">
      <c r="A62" s="4" t="s">
        <v>18</v>
      </c>
      <c r="B62" s="4" t="s">
        <v>211</v>
      </c>
      <c r="C62" s="4" t="s">
        <v>212</v>
      </c>
      <c r="D62" s="4" t="s">
        <v>213</v>
      </c>
      <c r="E62" s="4" t="s">
        <v>214</v>
      </c>
      <c r="F62" s="4" t="s">
        <v>47</v>
      </c>
      <c r="G62" s="5" t="n">
        <f aca="false">SUMIFS(Dettaglio!$I$5:$I$126,Dettaglio!$B$5:$B$126,B62)</f>
        <v>2949</v>
      </c>
      <c r="H62" s="6" t="n">
        <f aca="false">IF($G$86=0,"",G62/$G$86)</f>
        <v>0.00171064624665129</v>
      </c>
      <c r="I62" s="5" t="n">
        <f aca="false">SUMIFS(Dettaglio!$J$5:$J$126,Dettaglio!$B$5:$B$126,B62)</f>
        <v>1640</v>
      </c>
      <c r="J62" s="6" t="n">
        <f aca="false">IF($I$86=0,"",I62/$I$86)</f>
        <v>0.00122273863213184</v>
      </c>
      <c r="K62" s="5" t="n">
        <f aca="false">G62-I62</f>
        <v>1309</v>
      </c>
      <c r="L62" s="6" t="n">
        <f aca="false">IF($K$86=0,"",K62/$K$86)</f>
        <v>0.00342080542746191</v>
      </c>
      <c r="M62" s="6" t="n">
        <f aca="false">IF(G62=0,"",K62/G62)</f>
        <v>0.443879281112241</v>
      </c>
      <c r="N62" s="5" t="n">
        <f aca="false">SUMIFS(Dettaglio!$M$5:$M$126,Dettaglio!$B$5:$B$126,B62)</f>
        <v>2916.73</v>
      </c>
      <c r="O62" s="5" t="n">
        <f aca="false">G62-N62</f>
        <v>32.27</v>
      </c>
      <c r="P62" s="10" t="n">
        <f aca="false">COUNTIFS(Dettaglio!$B$5:$B$126,B62,Dettaglio!$D$5:$D$126,"Quadro")+COUNTIFS(Dettaglio!$B$5:$B$126,B62,Dettaglio!$D$5:$D$126,"Variante")</f>
        <v>0</v>
      </c>
      <c r="Q62" s="4"/>
    </row>
    <row r="63" customFormat="false" ht="15" hidden="false" customHeight="false" outlineLevel="0" collapsed="false">
      <c r="A63" s="4" t="s">
        <v>18</v>
      </c>
      <c r="B63" s="4" t="s">
        <v>215</v>
      </c>
      <c r="C63" s="4" t="s">
        <v>216</v>
      </c>
      <c r="D63" s="4" t="s">
        <v>213</v>
      </c>
      <c r="E63" s="4" t="s">
        <v>214</v>
      </c>
      <c r="F63" s="4" t="s">
        <v>47</v>
      </c>
      <c r="G63" s="5" t="n">
        <f aca="false">SUMIFS(Dettaglio!$I$5:$I$126,Dettaglio!$B$5:$B$126,B63)</f>
        <v>986.59</v>
      </c>
      <c r="H63" s="6" t="n">
        <f aca="false">IF($G$86=0,"",G63/$G$86)</f>
        <v>0.000572297890974465</v>
      </c>
      <c r="I63" s="5" t="n">
        <f aca="false">SUMIFS(Dettaglio!$J$5:$J$126,Dettaglio!$B$5:$B$126,B63)</f>
        <v>67</v>
      </c>
      <c r="J63" s="6" t="n">
        <f aca="false">IF($I$86=0,"",I63/$I$86)</f>
        <v>4.99533465566055E-005</v>
      </c>
      <c r="K63" s="5" t="n">
        <f aca="false">G63-I63</f>
        <v>919.59</v>
      </c>
      <c r="L63" s="6" t="n">
        <f aca="false">IF($K$86=0,"",K63/$K$86)</f>
        <v>0.00240316154548487</v>
      </c>
      <c r="M63" s="6" t="n">
        <f aca="false">IF(G63=0,"",K63/G63)</f>
        <v>0.932089317751041</v>
      </c>
      <c r="N63" s="5" t="n">
        <f aca="false">SUMIFS(Dettaglio!$M$5:$M$126,Dettaglio!$B$5:$B$126,B63)</f>
        <v>986.59</v>
      </c>
      <c r="O63" s="5" t="n">
        <f aca="false">G63-N63</f>
        <v>0</v>
      </c>
      <c r="P63" s="10" t="n">
        <f aca="false">COUNTIFS(Dettaglio!$B$5:$B$126,B63,Dettaglio!$D$5:$D$126,"Quadro")+COUNTIFS(Dettaglio!$B$5:$B$126,B63,Dettaglio!$D$5:$D$126,"Variante")</f>
        <v>0</v>
      </c>
      <c r="Q63" s="4"/>
    </row>
    <row r="64" customFormat="false" ht="15" hidden="false" customHeight="false" outlineLevel="0" collapsed="false">
      <c r="A64" s="4" t="s">
        <v>18</v>
      </c>
      <c r="B64" s="4" t="s">
        <v>217</v>
      </c>
      <c r="C64" s="4" t="s">
        <v>218</v>
      </c>
      <c r="D64" s="4" t="s">
        <v>79</v>
      </c>
      <c r="E64" s="4" t="s">
        <v>80</v>
      </c>
      <c r="F64" s="4" t="s">
        <v>47</v>
      </c>
      <c r="G64" s="5" t="n">
        <f aca="false">SUMIFS(Dettaglio!$I$5:$I$126,Dettaglio!$B$5:$B$126,B64)</f>
        <v>5145.06</v>
      </c>
      <c r="H64" s="6" t="n">
        <f aca="false">IF($G$86=0,"",G64/$G$86)</f>
        <v>0.0029845295279063</v>
      </c>
      <c r="I64" s="5" t="n">
        <f aca="false">SUMIFS(Dettaglio!$J$5:$J$126,Dettaglio!$B$5:$B$126,B64)</f>
        <v>1883</v>
      </c>
      <c r="J64" s="6" t="n">
        <f aca="false">IF($I$86=0,"",I64/$I$86)</f>
        <v>0.00140391270994161</v>
      </c>
      <c r="K64" s="5" t="n">
        <f aca="false">G64-I64</f>
        <v>3262.06</v>
      </c>
      <c r="L64" s="6" t="n">
        <f aca="false">IF($K$86=0,"",K64/$K$86)</f>
        <v>0.00852473075073064</v>
      </c>
      <c r="M64" s="6" t="n">
        <f aca="false">IF(G64=0,"",K64/G64)</f>
        <v>0.634017873455315</v>
      </c>
      <c r="N64" s="5" t="n">
        <f aca="false">SUMIFS(Dettaglio!$M$5:$M$126,Dettaglio!$B$5:$B$126,B64)</f>
        <v>7383.72</v>
      </c>
      <c r="O64" s="5" t="n">
        <f aca="false">G64-N64</f>
        <v>-2238.66</v>
      </c>
      <c r="P64" s="10" t="n">
        <f aca="false">COUNTIFS(Dettaglio!$B$5:$B$126,B64,Dettaglio!$D$5:$D$126,"Quadro")+COUNTIFS(Dettaglio!$B$5:$B$126,B64,Dettaglio!$D$5:$D$126,"Variante")</f>
        <v>0</v>
      </c>
      <c r="Q64" s="4"/>
    </row>
    <row r="65" customFormat="false" ht="15" hidden="false" customHeight="false" outlineLevel="0" collapsed="false">
      <c r="A65" s="4" t="s">
        <v>18</v>
      </c>
      <c r="B65" s="4" t="s">
        <v>219</v>
      </c>
      <c r="C65" s="4" t="s">
        <v>220</v>
      </c>
      <c r="D65" s="4" t="s">
        <v>221</v>
      </c>
      <c r="E65" s="4" t="s">
        <v>222</v>
      </c>
      <c r="F65" s="4" t="s">
        <v>47</v>
      </c>
      <c r="G65" s="5" t="n">
        <f aca="false">SUMIFS(Dettaglio!$I$5:$I$126,Dettaglio!$B$5:$B$126,B65)</f>
        <v>1662.06</v>
      </c>
      <c r="H65" s="6" t="n">
        <f aca="false">IF($G$86=0,"",G65/$G$86)</f>
        <v>0.000964122312888858</v>
      </c>
      <c r="I65" s="5" t="n">
        <f aca="false">SUMIFS(Dettaglio!$J$5:$J$126,Dettaglio!$B$5:$B$126,B65)</f>
        <v>557</v>
      </c>
      <c r="J65" s="6" t="n">
        <f aca="false">IF($I$86=0,"",I65/$I$86)</f>
        <v>0.000415283791522825</v>
      </c>
      <c r="K65" s="5" t="n">
        <f aca="false">G65-I65</f>
        <v>1105.06</v>
      </c>
      <c r="L65" s="6" t="n">
        <f aca="false">IF($K$86=0,"",K65/$K$86)</f>
        <v>0.00288784969111617</v>
      </c>
      <c r="M65" s="6" t="n">
        <f aca="false">IF(G65=0,"",K65/G65)</f>
        <v>0.66487371093703</v>
      </c>
      <c r="N65" s="5" t="n">
        <f aca="false">SUMIFS(Dettaglio!$M$5:$M$126,Dettaglio!$B$5:$B$126,B65)</f>
        <v>1662.05</v>
      </c>
      <c r="O65" s="5" t="n">
        <f aca="false">G65-N65</f>
        <v>0.00999999999999091</v>
      </c>
      <c r="P65" s="10" t="n">
        <f aca="false">COUNTIFS(Dettaglio!$B$5:$B$126,B65,Dettaglio!$D$5:$D$126,"Quadro")+COUNTIFS(Dettaglio!$B$5:$B$126,B65,Dettaglio!$D$5:$D$126,"Variante")</f>
        <v>0</v>
      </c>
      <c r="Q65" s="4"/>
    </row>
    <row r="66" customFormat="false" ht="15" hidden="false" customHeight="false" outlineLevel="0" collapsed="false">
      <c r="A66" s="4" t="s">
        <v>18</v>
      </c>
      <c r="B66" s="4" t="s">
        <v>223</v>
      </c>
      <c r="C66" s="4" t="s">
        <v>224</v>
      </c>
      <c r="D66" s="4" t="s">
        <v>213</v>
      </c>
      <c r="E66" s="4" t="s">
        <v>214</v>
      </c>
      <c r="F66" s="4" t="s">
        <v>47</v>
      </c>
      <c r="G66" s="5" t="n">
        <f aca="false">SUMIFS(Dettaglio!$I$5:$I$126,Dettaglio!$B$5:$B$126,B66)</f>
        <v>75</v>
      </c>
      <c r="H66" s="6" t="n">
        <f aca="false">IF($G$86=0,"",G66/$G$86)</f>
        <v>4.35057539840104E-005</v>
      </c>
      <c r="I66" s="5" t="n">
        <f aca="false">SUMIFS(Dettaglio!$J$5:$J$126,Dettaglio!$B$5:$B$126,B66)</f>
        <v>46</v>
      </c>
      <c r="J66" s="6" t="n">
        <f aca="false">IF($I$86=0,"",I66/$I$86)</f>
        <v>3.42963274866247E-005</v>
      </c>
      <c r="K66" s="5" t="n">
        <f aca="false">G66-I66</f>
        <v>29</v>
      </c>
      <c r="L66" s="6" t="n">
        <f aca="false">IF($K$86=0,"",K66/$K$86)</f>
        <v>7.57856053448399E-005</v>
      </c>
      <c r="M66" s="6" t="n">
        <f aca="false">IF(G66=0,"",K66/G66)</f>
        <v>0.386666666666667</v>
      </c>
      <c r="N66" s="5" t="n">
        <f aca="false">SUMIFS(Dettaglio!$M$5:$M$126,Dettaglio!$B$5:$B$126,B66)</f>
        <v>75</v>
      </c>
      <c r="O66" s="5" t="n">
        <f aca="false">G66-N66</f>
        <v>0</v>
      </c>
      <c r="P66" s="10" t="n">
        <f aca="false">COUNTIFS(Dettaglio!$B$5:$B$126,B66,Dettaglio!$D$5:$D$126,"Quadro")+COUNTIFS(Dettaglio!$B$5:$B$126,B66,Dettaglio!$D$5:$D$126,"Variante")</f>
        <v>0</v>
      </c>
      <c r="Q66" s="4"/>
    </row>
    <row r="67" customFormat="false" ht="15" hidden="false" customHeight="false" outlineLevel="0" collapsed="false">
      <c r="A67" s="4" t="s">
        <v>18</v>
      </c>
      <c r="B67" s="4" t="s">
        <v>225</v>
      </c>
      <c r="C67" s="4" t="s">
        <v>226</v>
      </c>
      <c r="D67" s="4" t="s">
        <v>227</v>
      </c>
      <c r="E67" s="4" t="s">
        <v>228</v>
      </c>
      <c r="F67" s="4" t="s">
        <v>47</v>
      </c>
      <c r="G67" s="5" t="n">
        <f aca="false">SUMIFS(Dettaglio!$I$5:$I$126,Dettaglio!$B$5:$B$126,B67)</f>
        <v>967.14</v>
      </c>
      <c r="H67" s="6" t="n">
        <f aca="false">IF($G$86=0,"",G67/$G$86)</f>
        <v>0.000561015398774611</v>
      </c>
      <c r="I67" s="5" t="n">
        <f aca="false">SUMIFS(Dettaglio!$J$5:$J$126,Dettaglio!$B$5:$B$126,B67)</f>
        <v>425.5</v>
      </c>
      <c r="J67" s="6" t="n">
        <f aca="false">IF($I$86=0,"",I67/$I$86)</f>
        <v>0.000317241029251278</v>
      </c>
      <c r="K67" s="5" t="n">
        <f aca="false">G67-I67</f>
        <v>541.64</v>
      </c>
      <c r="L67" s="6" t="n">
        <f aca="false">IF($K$86=0,"",K67/$K$86)</f>
        <v>0.00141546604410273</v>
      </c>
      <c r="M67" s="6" t="n">
        <f aca="false">IF(G67=0,"",K67/G67)</f>
        <v>0.560043013421015</v>
      </c>
      <c r="N67" s="5" t="n">
        <f aca="false">SUMIFS(Dettaglio!$M$5:$M$126,Dettaglio!$B$5:$B$126,B67)</f>
        <v>967.11</v>
      </c>
      <c r="O67" s="5" t="n">
        <f aca="false">G67-N67</f>
        <v>0.0299999999999727</v>
      </c>
      <c r="P67" s="10" t="n">
        <f aca="false">COUNTIFS(Dettaglio!$B$5:$B$126,B67,Dettaglio!$D$5:$D$126,"Quadro")+COUNTIFS(Dettaglio!$B$5:$B$126,B67,Dettaglio!$D$5:$D$126,"Variante")</f>
        <v>0</v>
      </c>
      <c r="Q67" s="4"/>
    </row>
    <row r="68" customFormat="false" ht="15" hidden="false" customHeight="false" outlineLevel="0" collapsed="false">
      <c r="A68" s="4" t="s">
        <v>18</v>
      </c>
      <c r="B68" s="4" t="s">
        <v>229</v>
      </c>
      <c r="C68" s="4" t="s">
        <v>230</v>
      </c>
      <c r="D68" s="4" t="s">
        <v>231</v>
      </c>
      <c r="E68" s="4" t="s">
        <v>232</v>
      </c>
      <c r="F68" s="4" t="s">
        <v>47</v>
      </c>
      <c r="G68" s="5" t="n">
        <f aca="false">SUMIFS(Dettaglio!$I$5:$I$126,Dettaglio!$B$5:$B$126,B68)</f>
        <v>283.73</v>
      </c>
      <c r="H68" s="6" t="n">
        <f aca="false">IF($G$86=0,"",G68/$G$86)</f>
        <v>0.00016458516770511</v>
      </c>
      <c r="I68" s="5" t="n">
        <f aca="false">SUMIFS(Dettaglio!$J$5:$J$126,Dettaglio!$B$5:$B$126,B68)</f>
        <v>115</v>
      </c>
      <c r="J68" s="6" t="n">
        <f aca="false">IF($I$86=0,"",I68/$I$86)</f>
        <v>8.57408187165616E-005</v>
      </c>
      <c r="K68" s="5" t="n">
        <f aca="false">G68-I68</f>
        <v>168.73</v>
      </c>
      <c r="L68" s="6" t="n">
        <f aca="false">IF($K$86=0,"",K68/$K$86)</f>
        <v>0.000440941558270167</v>
      </c>
      <c r="M68" s="6" t="n">
        <f aca="false">IF(G68=0,"",K68/G68)</f>
        <v>0.594685087935714</v>
      </c>
      <c r="N68" s="5" t="n">
        <f aca="false">SUMIFS(Dettaglio!$M$5:$M$126,Dettaglio!$B$5:$B$126,B68)</f>
        <v>283.73</v>
      </c>
      <c r="O68" s="5" t="n">
        <f aca="false">G68-N68</f>
        <v>0</v>
      </c>
      <c r="P68" s="10" t="n">
        <f aca="false">COUNTIFS(Dettaglio!$B$5:$B$126,B68,Dettaglio!$D$5:$D$126,"Quadro")+COUNTIFS(Dettaglio!$B$5:$B$126,B68,Dettaglio!$D$5:$D$126,"Variante")</f>
        <v>0</v>
      </c>
      <c r="Q68" s="4"/>
    </row>
    <row r="69" customFormat="false" ht="15" hidden="false" customHeight="false" outlineLevel="0" collapsed="false">
      <c r="A69" s="4" t="s">
        <v>18</v>
      </c>
      <c r="B69" s="4" t="s">
        <v>233</v>
      </c>
      <c r="C69" s="4" t="s">
        <v>234</v>
      </c>
      <c r="D69" s="4" t="s">
        <v>235</v>
      </c>
      <c r="E69" s="4" t="s">
        <v>236</v>
      </c>
      <c r="F69" s="4" t="s">
        <v>47</v>
      </c>
      <c r="G69" s="5" t="n">
        <f aca="false">SUMIFS(Dettaglio!$I$5:$I$126,Dettaglio!$B$5:$B$126,B69)</f>
        <v>333.91</v>
      </c>
      <c r="H69" s="6" t="n">
        <f aca="false">IF($G$86=0,"",G69/$G$86)</f>
        <v>0.000193693417504012</v>
      </c>
      <c r="I69" s="5" t="n">
        <f aca="false">SUMIFS(Dettaglio!$J$5:$J$126,Dettaglio!$B$5:$B$126,B69)</f>
        <v>136</v>
      </c>
      <c r="J69" s="6" t="n">
        <f aca="false">IF($I$86=0,"",I69/$I$86)</f>
        <v>0.000101397837786542</v>
      </c>
      <c r="K69" s="5" t="n">
        <f aca="false">G69-I69</f>
        <v>197.91</v>
      </c>
      <c r="L69" s="6" t="n">
        <f aca="false">IF($K$86=0,"",K69/$K$86)</f>
        <v>0.000517197557027492</v>
      </c>
      <c r="M69" s="6" t="n">
        <f aca="false">IF(G69=0,"",K69/G69)</f>
        <v>0.59270462100566</v>
      </c>
      <c r="N69" s="5" t="n">
        <f aca="false">SUMIFS(Dettaglio!$M$5:$M$126,Dettaglio!$B$5:$B$126,B69)</f>
        <v>333.91</v>
      </c>
      <c r="O69" s="5" t="n">
        <f aca="false">G69-N69</f>
        <v>0</v>
      </c>
      <c r="P69" s="10" t="n">
        <f aca="false">COUNTIFS(Dettaglio!$B$5:$B$126,B69,Dettaglio!$D$5:$D$126,"Quadro")+COUNTIFS(Dettaglio!$B$5:$B$126,B69,Dettaglio!$D$5:$D$126,"Variante")</f>
        <v>0</v>
      </c>
      <c r="Q69" s="4"/>
    </row>
    <row r="70" customFormat="false" ht="15" hidden="false" customHeight="false" outlineLevel="0" collapsed="false">
      <c r="A70" s="4" t="s">
        <v>18</v>
      </c>
      <c r="B70" s="4" t="s">
        <v>237</v>
      </c>
      <c r="C70" s="4" t="s">
        <v>238</v>
      </c>
      <c r="D70" s="4" t="s">
        <v>157</v>
      </c>
      <c r="E70" s="4" t="s">
        <v>158</v>
      </c>
      <c r="F70" s="4" t="s">
        <v>47</v>
      </c>
      <c r="G70" s="5" t="n">
        <f aca="false">SUMIFS(Dettaglio!$I$5:$I$126,Dettaglio!$B$5:$B$126,B70)</f>
        <v>2212.58</v>
      </c>
      <c r="H70" s="6" t="n">
        <f aca="false">IF($G$86=0,"",G70/$G$86)</f>
        <v>0.00128346614866589</v>
      </c>
      <c r="I70" s="5" t="n">
        <f aca="false">SUMIFS(Dettaglio!$J$5:$J$126,Dettaglio!$B$5:$B$126,B70)</f>
        <v>852</v>
      </c>
      <c r="J70" s="6" t="n">
        <f aca="false">IF($I$86=0,"",I70/$I$86)</f>
        <v>0.000635227630839222</v>
      </c>
      <c r="K70" s="5" t="n">
        <f aca="false">G70-I70</f>
        <v>1360.58</v>
      </c>
      <c r="L70" s="6" t="n">
        <f aca="false">IF($K$86=0,"",K70/$K$86)</f>
        <v>0.00355559927310629</v>
      </c>
      <c r="M70" s="6" t="n">
        <f aca="false">IF(G70=0,"",K70/G70)</f>
        <v>0.614929177702049</v>
      </c>
      <c r="N70" s="5" t="n">
        <f aca="false">SUMIFS(Dettaglio!$M$5:$M$126,Dettaglio!$B$5:$B$126,B70)</f>
        <v>2277.16</v>
      </c>
      <c r="O70" s="5" t="n">
        <f aca="false">G70-N70</f>
        <v>-64.5799999999999</v>
      </c>
      <c r="P70" s="10" t="n">
        <f aca="false">COUNTIFS(Dettaglio!$B$5:$B$126,B70,Dettaglio!$D$5:$D$126,"Quadro")+COUNTIFS(Dettaglio!$B$5:$B$126,B70,Dettaglio!$D$5:$D$126,"Variante")</f>
        <v>0</v>
      </c>
      <c r="Q70" s="4"/>
    </row>
    <row r="71" customFormat="false" ht="15" hidden="false" customHeight="false" outlineLevel="0" collapsed="false">
      <c r="A71" s="4" t="s">
        <v>18</v>
      </c>
      <c r="B71" s="4" t="s">
        <v>239</v>
      </c>
      <c r="C71" s="4" t="s">
        <v>240</v>
      </c>
      <c r="D71" s="4" t="s">
        <v>161</v>
      </c>
      <c r="E71" s="4" t="s">
        <v>162</v>
      </c>
      <c r="F71" s="4" t="s">
        <v>47</v>
      </c>
      <c r="G71" s="5" t="n">
        <f aca="false">SUMIFS(Dettaglio!$I$5:$I$126,Dettaglio!$B$5:$B$126,B71)</f>
        <v>470.6</v>
      </c>
      <c r="H71" s="6" t="n">
        <f aca="false">IF($G$86=0,"",G71/$G$86)</f>
        <v>0.000272984104331671</v>
      </c>
      <c r="I71" s="5" t="n">
        <f aca="false">SUMIFS(Dettaglio!$J$5:$J$126,Dettaglio!$B$5:$B$126,B71)</f>
        <v>230</v>
      </c>
      <c r="J71" s="6" t="n">
        <f aca="false">IF($I$86=0,"",I71/$I$86)</f>
        <v>0.000171481637433123</v>
      </c>
      <c r="K71" s="5" t="n">
        <f aca="false">G71-I71</f>
        <v>240.6</v>
      </c>
      <c r="L71" s="6" t="n">
        <f aca="false">IF($K$86=0,"",K71/$K$86)</f>
        <v>0.000628759194688568</v>
      </c>
      <c r="M71" s="6" t="n">
        <f aca="false">IF(G71=0,"",K71/G71)</f>
        <v>0.511262218444539</v>
      </c>
      <c r="N71" s="5" t="n">
        <f aca="false">SUMIFS(Dettaglio!$M$5:$M$126,Dettaglio!$B$5:$B$126,B71)</f>
        <v>470.59</v>
      </c>
      <c r="O71" s="5" t="n">
        <f aca="false">G71-N71</f>
        <v>0.0100000000000477</v>
      </c>
      <c r="P71" s="10" t="n">
        <f aca="false">COUNTIFS(Dettaglio!$B$5:$B$126,B71,Dettaglio!$D$5:$D$126,"Quadro")+COUNTIFS(Dettaglio!$B$5:$B$126,B71,Dettaglio!$D$5:$D$126,"Variante")</f>
        <v>0</v>
      </c>
      <c r="Q71" s="4"/>
    </row>
    <row r="72" customFormat="false" ht="15" hidden="false" customHeight="false" outlineLevel="0" collapsed="false">
      <c r="A72" s="4" t="s">
        <v>18</v>
      </c>
      <c r="B72" s="4" t="s">
        <v>241</v>
      </c>
      <c r="C72" s="4" t="s">
        <v>242</v>
      </c>
      <c r="D72" s="4" t="s">
        <v>243</v>
      </c>
      <c r="E72" s="4" t="s">
        <v>244</v>
      </c>
      <c r="F72" s="4" t="s">
        <v>47</v>
      </c>
      <c r="G72" s="5" t="n">
        <f aca="false">SUMIFS(Dettaglio!$I$5:$I$126,Dettaglio!$B$5:$B$126,B72)</f>
        <v>233.11</v>
      </c>
      <c r="H72" s="6" t="n">
        <f aca="false">IF($G$86=0,"",G72/$G$86)</f>
        <v>0.000135221684149502</v>
      </c>
      <c r="I72" s="5" t="n">
        <f aca="false">SUMIFS(Dettaglio!$J$5:$J$126,Dettaglio!$B$5:$B$126,B72)</f>
        <v>69</v>
      </c>
      <c r="J72" s="6" t="n">
        <f aca="false">IF($I$86=0,"",I72/$I$86)</f>
        <v>5.1444491229937E-005</v>
      </c>
      <c r="K72" s="5" t="n">
        <f aca="false">G72-I72</f>
        <v>164.11</v>
      </c>
      <c r="L72" s="6" t="n">
        <f aca="false">IF($K$86=0,"",K72/$K$86)</f>
        <v>0.000428868127349713</v>
      </c>
      <c r="M72" s="6" t="n">
        <f aca="false">IF(G72=0,"",K72/G72)</f>
        <v>0.704002402299344</v>
      </c>
      <c r="N72" s="5" t="n">
        <f aca="false">SUMIFS(Dettaglio!$M$5:$M$126,Dettaglio!$B$5:$B$126,B72)</f>
        <v>233.11</v>
      </c>
      <c r="O72" s="5" t="n">
        <f aca="false">G72-N72</f>
        <v>0</v>
      </c>
      <c r="P72" s="10" t="n">
        <f aca="false">COUNTIFS(Dettaglio!$B$5:$B$126,B72,Dettaglio!$D$5:$D$126,"Quadro")+COUNTIFS(Dettaglio!$B$5:$B$126,B72,Dettaglio!$D$5:$D$126,"Variante")</f>
        <v>0</v>
      </c>
      <c r="Q72" s="4"/>
    </row>
    <row r="73" customFormat="false" ht="15" hidden="false" customHeight="false" outlineLevel="0" collapsed="false">
      <c r="A73" s="4" t="s">
        <v>18</v>
      </c>
      <c r="B73" s="4" t="s">
        <v>245</v>
      </c>
      <c r="C73" s="4" t="s">
        <v>246</v>
      </c>
      <c r="D73" s="4" t="s">
        <v>247</v>
      </c>
      <c r="E73" s="4" t="s">
        <v>248</v>
      </c>
      <c r="F73" s="4" t="s">
        <v>47</v>
      </c>
      <c r="G73" s="5" t="n">
        <f aca="false">SUMIFS(Dettaglio!$I$5:$I$126,Dettaglio!$B$5:$B$126,B73)</f>
        <v>60</v>
      </c>
      <c r="H73" s="6" t="n">
        <f aca="false">IF($G$86=0,"",G73/$G$86)</f>
        <v>3.48046031872083E-005</v>
      </c>
      <c r="I73" s="5" t="n">
        <f aca="false">SUMIFS(Dettaglio!$J$5:$J$126,Dettaglio!$B$5:$B$126,B73)</f>
        <v>46</v>
      </c>
      <c r="J73" s="6" t="n">
        <f aca="false">IF($I$86=0,"",I73/$I$86)</f>
        <v>3.42963274866247E-005</v>
      </c>
      <c r="K73" s="5" t="n">
        <f aca="false">G73-I73</f>
        <v>14</v>
      </c>
      <c r="L73" s="6" t="n">
        <f aca="false">IF($K$86=0,"",K73/$K$86)</f>
        <v>3.65861543044055E-005</v>
      </c>
      <c r="M73" s="6" t="n">
        <f aca="false">IF(G73=0,"",K73/G73)</f>
        <v>0.233333333333333</v>
      </c>
      <c r="N73" s="5" t="n">
        <f aca="false">SUMIFS(Dettaglio!$M$5:$M$126,Dettaglio!$B$5:$B$126,B73)</f>
        <v>60</v>
      </c>
      <c r="O73" s="5" t="n">
        <f aca="false">G73-N73</f>
        <v>0</v>
      </c>
      <c r="P73" s="10" t="n">
        <f aca="false">COUNTIFS(Dettaglio!$B$5:$B$126,B73,Dettaglio!$D$5:$D$126,"Quadro")+COUNTIFS(Dettaglio!$B$5:$B$126,B73,Dettaglio!$D$5:$D$126,"Variante")</f>
        <v>0</v>
      </c>
      <c r="Q73" s="4"/>
    </row>
    <row r="74" customFormat="false" ht="15" hidden="false" customHeight="false" outlineLevel="0" collapsed="false">
      <c r="A74" s="4" t="s">
        <v>18</v>
      </c>
      <c r="B74" s="4" t="s">
        <v>249</v>
      </c>
      <c r="C74" s="4" t="s">
        <v>250</v>
      </c>
      <c r="D74" s="4" t="s">
        <v>251</v>
      </c>
      <c r="E74" s="4" t="s">
        <v>252</v>
      </c>
      <c r="F74" s="4" t="s">
        <v>47</v>
      </c>
      <c r="G74" s="5" t="n">
        <f aca="false">SUMIFS(Dettaglio!$I$5:$I$126,Dettaglio!$B$5:$B$126,B74)</f>
        <v>0</v>
      </c>
      <c r="H74" s="6" t="n">
        <f aca="false">IF($G$86=0,"",G74/$G$86)</f>
        <v>0</v>
      </c>
      <c r="I74" s="5" t="n">
        <f aca="false">SUMIFS(Dettaglio!$J$5:$J$126,Dettaglio!$B$5:$B$126,B74)</f>
        <v>0</v>
      </c>
      <c r="J74" s="6" t="n">
        <f aca="false">IF($I$86=0,"",I74/$I$86)</f>
        <v>0</v>
      </c>
      <c r="K74" s="5" t="n">
        <f aca="false">G74-I74</f>
        <v>0</v>
      </c>
      <c r="L74" s="6" t="n">
        <f aca="false">IF($K$86=0,"",K74/$K$86)</f>
        <v>0</v>
      </c>
      <c r="M74" s="6" t="str">
        <f aca="false">IF(G74=0,"",K74/G74)</f>
        <v/>
      </c>
      <c r="N74" s="5" t="n">
        <f aca="false">SUMIFS(Dettaglio!$M$5:$M$126,Dettaglio!$B$5:$B$126,B74)</f>
        <v>0</v>
      </c>
      <c r="O74" s="5" t="n">
        <f aca="false">G74-N74</f>
        <v>0</v>
      </c>
      <c r="P74" s="10" t="n">
        <f aca="false">COUNTIFS(Dettaglio!$B$5:$B$126,B74,Dettaglio!$D$5:$D$126,"Quadro")+COUNTIFS(Dettaglio!$B$5:$B$126,B74,Dettaglio!$D$5:$D$126,"Variante")</f>
        <v>0</v>
      </c>
      <c r="Q74" s="4"/>
    </row>
    <row r="75" customFormat="false" ht="15" hidden="false" customHeight="false" outlineLevel="0" collapsed="false">
      <c r="A75" s="4" t="s">
        <v>18</v>
      </c>
      <c r="B75" s="4" t="s">
        <v>253</v>
      </c>
      <c r="C75" s="4" t="s">
        <v>254</v>
      </c>
      <c r="D75" s="4" t="s">
        <v>255</v>
      </c>
      <c r="E75" s="4" t="s">
        <v>256</v>
      </c>
      <c r="F75" s="4" t="s">
        <v>47</v>
      </c>
      <c r="G75" s="5" t="n">
        <f aca="false">SUMIFS(Dettaglio!$I$5:$I$126,Dettaglio!$B$5:$B$126,B75)</f>
        <v>10157.42</v>
      </c>
      <c r="H75" s="6" t="n">
        <f aca="false">IF($G$86=0,"",G75/$G$86)</f>
        <v>0.0058920828750969</v>
      </c>
      <c r="I75" s="5" t="n">
        <f aca="false">SUMIFS(Dettaglio!$J$5:$J$126,Dettaglio!$B$5:$B$126,B75)</f>
        <v>5386</v>
      </c>
      <c r="J75" s="6" t="n">
        <f aca="false">IF($I$86=0,"",I75/$I$86)</f>
        <v>0.00401565260528175</v>
      </c>
      <c r="K75" s="5" t="n">
        <f aca="false">G75-I75</f>
        <v>4771.42</v>
      </c>
      <c r="L75" s="6" t="n">
        <f aca="false">IF($K$86=0,"",K75/$K$86)</f>
        <v>0.0124691363122233</v>
      </c>
      <c r="M75" s="6" t="n">
        <f aca="false">IF(G75=0,"",K75/G75)</f>
        <v>0.469747238964225</v>
      </c>
      <c r="N75" s="5" t="n">
        <f aca="false">SUMIFS(Dettaglio!$M$5:$M$126,Dettaglio!$B$5:$B$126,B75)</f>
        <v>16895.24</v>
      </c>
      <c r="O75" s="5" t="n">
        <f aca="false">G75-N75</f>
        <v>-6737.82</v>
      </c>
      <c r="P75" s="10" t="n">
        <f aca="false">COUNTIFS(Dettaglio!$B$5:$B$126,B75,Dettaglio!$D$5:$D$126,"Quadro")+COUNTIFS(Dettaglio!$B$5:$B$126,B75,Dettaglio!$D$5:$D$126,"Variante")</f>
        <v>0</v>
      </c>
      <c r="Q75" s="4"/>
    </row>
    <row r="76" customFormat="false" ht="15" hidden="false" customHeight="false" outlineLevel="0" collapsed="false">
      <c r="A76" s="4" t="s">
        <v>18</v>
      </c>
      <c r="B76" s="4" t="s">
        <v>257</v>
      </c>
      <c r="C76" s="4" t="s">
        <v>184</v>
      </c>
      <c r="D76" s="4" t="s">
        <v>258</v>
      </c>
      <c r="E76" s="4" t="s">
        <v>259</v>
      </c>
      <c r="F76" s="4" t="s">
        <v>47</v>
      </c>
      <c r="G76" s="5" t="n">
        <f aca="false">SUMIFS(Dettaglio!$I$5:$I$126,Dettaglio!$B$5:$B$126,B76)</f>
        <v>249.38</v>
      </c>
      <c r="H76" s="6" t="n">
        <f aca="false">IF($G$86=0,"",G76/$G$86)</f>
        <v>0.000144659532380434</v>
      </c>
      <c r="I76" s="5" t="n">
        <f aca="false">SUMIFS(Dettaglio!$J$5:$J$126,Dettaglio!$B$5:$B$126,B76)</f>
        <v>69</v>
      </c>
      <c r="J76" s="6" t="n">
        <f aca="false">IF($I$86=0,"",I76/$I$86)</f>
        <v>5.1444491229937E-005</v>
      </c>
      <c r="K76" s="5" t="n">
        <f aca="false">G76-I76</f>
        <v>180.38</v>
      </c>
      <c r="L76" s="6" t="n">
        <f aca="false">IF($K$86=0,"",K76/$K$86)</f>
        <v>0.000471386465244904</v>
      </c>
      <c r="M76" s="6" t="n">
        <f aca="false">IF(G76=0,"",K76/G76)</f>
        <v>0.723313818269308</v>
      </c>
      <c r="N76" s="5" t="n">
        <f aca="false">SUMIFS(Dettaglio!$M$5:$M$126,Dettaglio!$B$5:$B$126,B76)</f>
        <v>249.37</v>
      </c>
      <c r="O76" s="5" t="n">
        <f aca="false">G76-N76</f>
        <v>0.00999999999999091</v>
      </c>
      <c r="P76" s="10" t="n">
        <f aca="false">COUNTIFS(Dettaglio!$B$5:$B$126,B76,Dettaglio!$D$5:$D$126,"Quadro")+COUNTIFS(Dettaglio!$B$5:$B$126,B76,Dettaglio!$D$5:$D$126,"Variante")</f>
        <v>0</v>
      </c>
      <c r="Q76" s="4"/>
    </row>
    <row r="77" customFormat="false" ht="15" hidden="false" customHeight="false" outlineLevel="0" collapsed="false">
      <c r="A77" s="4" t="s">
        <v>18</v>
      </c>
      <c r="B77" s="4" t="s">
        <v>260</v>
      </c>
      <c r="C77" s="4" t="s">
        <v>261</v>
      </c>
      <c r="D77" s="4" t="s">
        <v>213</v>
      </c>
      <c r="E77" s="4" t="s">
        <v>214</v>
      </c>
      <c r="F77" s="4" t="s">
        <v>47</v>
      </c>
      <c r="G77" s="5" t="n">
        <f aca="false">SUMIFS(Dettaglio!$I$5:$I$126,Dettaglio!$B$5:$B$126,B77)</f>
        <v>6505.8</v>
      </c>
      <c r="H77" s="6" t="n">
        <f aca="false">IF($G$86=0,"",G77/$G$86)</f>
        <v>0.003773863123589</v>
      </c>
      <c r="I77" s="5" t="n">
        <f aca="false">SUMIFS(Dettaglio!$J$5:$J$126,Dettaglio!$B$5:$B$126,B77)</f>
        <v>2135</v>
      </c>
      <c r="J77" s="6" t="n">
        <f aca="false">IF($I$86=0,"",I77/$I$86)</f>
        <v>0.00159179693878138</v>
      </c>
      <c r="K77" s="5" t="n">
        <f aca="false">G77-I77</f>
        <v>4370.8</v>
      </c>
      <c r="L77" s="6" t="n">
        <f aca="false">IF($K$86=0,"",K77/$K$86)</f>
        <v>0.0114221973738354</v>
      </c>
      <c r="M77" s="6" t="n">
        <f aca="false">IF(G77=0,"",K77/G77)</f>
        <v>0.671831289003658</v>
      </c>
      <c r="N77" s="5" t="n">
        <f aca="false">SUMIFS(Dettaglio!$M$5:$M$126,Dettaglio!$B$5:$B$126,B77)</f>
        <v>6505.83</v>
      </c>
      <c r="O77" s="5" t="n">
        <f aca="false">G77-N77</f>
        <v>-0.0299999999997453</v>
      </c>
      <c r="P77" s="10" t="n">
        <f aca="false">COUNTIFS(Dettaglio!$B$5:$B$126,B77,Dettaglio!$D$5:$D$126,"Quadro")+COUNTIFS(Dettaglio!$B$5:$B$126,B77,Dettaglio!$D$5:$D$126,"Variante")</f>
        <v>0</v>
      </c>
      <c r="Q77" s="4"/>
    </row>
    <row r="78" customFormat="false" ht="15" hidden="false" customHeight="false" outlineLevel="0" collapsed="false">
      <c r="A78" s="4" t="s">
        <v>18</v>
      </c>
      <c r="B78" s="4" t="s">
        <v>262</v>
      </c>
      <c r="C78" s="4" t="s">
        <v>263</v>
      </c>
      <c r="D78" s="4" t="s">
        <v>264</v>
      </c>
      <c r="E78" s="4" t="s">
        <v>265</v>
      </c>
      <c r="F78" s="4" t="s">
        <v>47</v>
      </c>
      <c r="G78" s="5" t="n">
        <f aca="false">SUMIFS(Dettaglio!$I$5:$I$126,Dettaglio!$B$5:$B$126,B78)</f>
        <v>68.09</v>
      </c>
      <c r="H78" s="6" t="n">
        <f aca="false">IF($G$86=0,"",G78/$G$86)</f>
        <v>3.94974238502836E-005</v>
      </c>
      <c r="I78" s="5" t="n">
        <f aca="false">SUMIFS(Dettaglio!$J$5:$J$126,Dettaglio!$B$5:$B$126,B78)</f>
        <v>23</v>
      </c>
      <c r="J78" s="6" t="n">
        <f aca="false">IF($I$86=0,"",I78/$I$86)</f>
        <v>1.71481637433123E-005</v>
      </c>
      <c r="K78" s="5" t="n">
        <f aca="false">G78-I78</f>
        <v>45.09</v>
      </c>
      <c r="L78" s="6" t="n">
        <f aca="false">IF($K$86=0,"",K78/$K$86)</f>
        <v>0.000117833549827546</v>
      </c>
      <c r="M78" s="6" t="n">
        <f aca="false">IF(G78=0,"",K78/G78)</f>
        <v>0.662211778528418</v>
      </c>
      <c r="N78" s="5" t="n">
        <f aca="false">SUMIFS(Dettaglio!$M$5:$M$126,Dettaglio!$B$5:$B$126,B78)</f>
        <v>183.09</v>
      </c>
      <c r="O78" s="5" t="n">
        <f aca="false">G78-N78</f>
        <v>-115</v>
      </c>
      <c r="P78" s="10" t="n">
        <f aca="false">COUNTIFS(Dettaglio!$B$5:$B$126,B78,Dettaglio!$D$5:$D$126,"Quadro")+COUNTIFS(Dettaglio!$B$5:$B$126,B78,Dettaglio!$D$5:$D$126,"Variante")</f>
        <v>0</v>
      </c>
      <c r="Q78" s="4"/>
    </row>
    <row r="79" customFormat="false" ht="15" hidden="false" customHeight="false" outlineLevel="0" collapsed="false">
      <c r="A79" s="4" t="s">
        <v>18</v>
      </c>
      <c r="B79" s="4" t="s">
        <v>266</v>
      </c>
      <c r="C79" s="4" t="s">
        <v>267</v>
      </c>
      <c r="D79" s="4" t="s">
        <v>268</v>
      </c>
      <c r="E79" s="4" t="s">
        <v>269</v>
      </c>
      <c r="F79" s="4" t="s">
        <v>47</v>
      </c>
      <c r="G79" s="5" t="n">
        <f aca="false">SUMIFS(Dettaglio!$I$5:$I$126,Dettaglio!$B$5:$B$126,B79)</f>
        <v>250.5</v>
      </c>
      <c r="H79" s="6" t="n">
        <f aca="false">IF($G$86=0,"",G79/$G$86)</f>
        <v>0.000145309218306595</v>
      </c>
      <c r="I79" s="5" t="n">
        <f aca="false">SUMIFS(Dettaglio!$J$5:$J$126,Dettaglio!$B$5:$B$126,B79)</f>
        <v>46</v>
      </c>
      <c r="J79" s="6" t="n">
        <f aca="false">IF($I$86=0,"",I79/$I$86)</f>
        <v>3.42963274866247E-005</v>
      </c>
      <c r="K79" s="5" t="n">
        <f aca="false">G79-I79</f>
        <v>204.5</v>
      </c>
      <c r="L79" s="6" t="n">
        <f aca="false">IF($K$86=0,"",K79/$K$86)</f>
        <v>0.000534419182517923</v>
      </c>
      <c r="M79" s="6" t="n">
        <f aca="false">IF(G79=0,"",K79/G79)</f>
        <v>0.816367265469062</v>
      </c>
      <c r="N79" s="5" t="n">
        <f aca="false">SUMIFS(Dettaglio!$M$5:$M$126,Dettaglio!$B$5:$B$126,B79)</f>
        <v>250.5</v>
      </c>
      <c r="O79" s="5" t="n">
        <f aca="false">G79-N79</f>
        <v>0</v>
      </c>
      <c r="P79" s="10" t="n">
        <f aca="false">COUNTIFS(Dettaglio!$B$5:$B$126,B79,Dettaglio!$D$5:$D$126,"Quadro")+COUNTIFS(Dettaglio!$B$5:$B$126,B79,Dettaglio!$D$5:$D$126,"Variante")</f>
        <v>0</v>
      </c>
      <c r="Q79" s="4"/>
    </row>
    <row r="80" customFormat="false" ht="15" hidden="false" customHeight="false" outlineLevel="0" collapsed="false">
      <c r="A80" s="4" t="s">
        <v>18</v>
      </c>
      <c r="B80" s="4" t="s">
        <v>270</v>
      </c>
      <c r="C80" s="4" t="s">
        <v>271</v>
      </c>
      <c r="D80" s="4" t="s">
        <v>272</v>
      </c>
      <c r="E80" s="4" t="s">
        <v>273</v>
      </c>
      <c r="F80" s="4" t="s">
        <v>47</v>
      </c>
      <c r="G80" s="5" t="n">
        <f aca="false">SUMIFS(Dettaglio!$I$5:$I$126,Dettaglio!$B$5:$B$126,B80)</f>
        <v>1062.2</v>
      </c>
      <c r="H80" s="6" t="n">
        <f aca="false">IF($G$86=0,"",G80/$G$86)</f>
        <v>0.000616157491757545</v>
      </c>
      <c r="I80" s="5" t="n">
        <f aca="false">SUMIFS(Dettaglio!$J$5:$J$126,Dettaglio!$B$5:$B$126,B80)</f>
        <v>276</v>
      </c>
      <c r="J80" s="6" t="n">
        <f aca="false">IF($I$86=0,"",I80/$I$86)</f>
        <v>0.000205777964919748</v>
      </c>
      <c r="K80" s="5" t="n">
        <f aca="false">G80-I80</f>
        <v>786.2</v>
      </c>
      <c r="L80" s="6" t="n">
        <f aca="false">IF($K$86=0,"",K80/$K$86)</f>
        <v>0.00205457389386597</v>
      </c>
      <c r="M80" s="6" t="n">
        <f aca="false">IF(G80=0,"",K80/G80)</f>
        <v>0.740161928073809</v>
      </c>
      <c r="N80" s="5" t="n">
        <f aca="false">SUMIFS(Dettaglio!$M$5:$M$126,Dettaglio!$B$5:$B$126,B80)</f>
        <v>1062.2</v>
      </c>
      <c r="O80" s="5" t="n">
        <f aca="false">G80-N80</f>
        <v>0</v>
      </c>
      <c r="P80" s="10" t="n">
        <f aca="false">COUNTIFS(Dettaglio!$B$5:$B$126,B80,Dettaglio!$D$5:$D$126,"Quadro")+COUNTIFS(Dettaglio!$B$5:$B$126,B80,Dettaglio!$D$5:$D$126,"Variante")</f>
        <v>0</v>
      </c>
      <c r="Q80" s="4"/>
    </row>
    <row r="81" customFormat="false" ht="15" hidden="false" customHeight="false" outlineLevel="0" collapsed="false">
      <c r="A81" s="4" t="s">
        <v>18</v>
      </c>
      <c r="B81" s="4" t="s">
        <v>274</v>
      </c>
      <c r="C81" s="4" t="s">
        <v>275</v>
      </c>
      <c r="D81" s="4" t="s">
        <v>276</v>
      </c>
      <c r="E81" s="4" t="s">
        <v>277</v>
      </c>
      <c r="F81" s="4" t="s">
        <v>47</v>
      </c>
      <c r="G81" s="5" t="n">
        <f aca="false">SUMIFS(Dettaglio!$I$5:$I$126,Dettaglio!$B$5:$B$126,B81)</f>
        <v>195.46</v>
      </c>
      <c r="H81" s="6" t="n">
        <f aca="false">IF($G$86=0,"",G81/$G$86)</f>
        <v>0.000113381795649529</v>
      </c>
      <c r="I81" s="5" t="n">
        <f aca="false">SUMIFS(Dettaglio!$J$5:$J$126,Dettaglio!$B$5:$B$126,B81)</f>
        <v>69</v>
      </c>
      <c r="J81" s="6" t="n">
        <f aca="false">IF($I$86=0,"",I81/$I$86)</f>
        <v>5.1444491229937E-005</v>
      </c>
      <c r="K81" s="5" t="n">
        <f aca="false">G81-I81</f>
        <v>126.46</v>
      </c>
      <c r="L81" s="6" t="n">
        <f aca="false">IF($K$86=0,"",K81/$K$86)</f>
        <v>0.000330477505238223</v>
      </c>
      <c r="M81" s="6" t="n">
        <f aca="false">IF(G81=0,"",K81/G81)</f>
        <v>0.64698659572291</v>
      </c>
      <c r="N81" s="5" t="n">
        <f aca="false">SUMIFS(Dettaglio!$M$5:$M$126,Dettaglio!$B$5:$B$126,B81)</f>
        <v>195.45</v>
      </c>
      <c r="O81" s="5" t="n">
        <f aca="false">G81-N81</f>
        <v>0.0100000000000193</v>
      </c>
      <c r="P81" s="10" t="n">
        <f aca="false">COUNTIFS(Dettaglio!$B$5:$B$126,B81,Dettaglio!$D$5:$D$126,"Quadro")+COUNTIFS(Dettaglio!$B$5:$B$126,B81,Dettaglio!$D$5:$D$126,"Variante")</f>
        <v>0</v>
      </c>
      <c r="Q81" s="4"/>
    </row>
    <row r="82" customFormat="false" ht="15" hidden="false" customHeight="false" outlineLevel="0" collapsed="false">
      <c r="A82" s="4" t="s">
        <v>18</v>
      </c>
      <c r="B82" s="4" t="s">
        <v>278</v>
      </c>
      <c r="C82" s="4" t="s">
        <v>279</v>
      </c>
      <c r="D82" s="4" t="s">
        <v>280</v>
      </c>
      <c r="E82" s="4" t="s">
        <v>281</v>
      </c>
      <c r="F82" s="4" t="s">
        <v>47</v>
      </c>
      <c r="G82" s="5" t="n">
        <f aca="false">SUMIFS(Dettaglio!$I$5:$I$126,Dettaglio!$B$5:$B$126,B82)</f>
        <v>1466.61</v>
      </c>
      <c r="H82" s="6" t="n">
        <f aca="false">IF($G$86=0,"",G82/$G$86)</f>
        <v>0.000850746318006527</v>
      </c>
      <c r="I82" s="5" t="n">
        <f aca="false">SUMIFS(Dettaglio!$J$5:$J$126,Dettaglio!$B$5:$B$126,B82)</f>
        <v>527.5</v>
      </c>
      <c r="J82" s="6" t="n">
        <f aca="false">IF($I$86=0,"",I82/$I$86)</f>
        <v>0.000393289407591185</v>
      </c>
      <c r="K82" s="5" t="n">
        <f aca="false">G82-I82</f>
        <v>939.11</v>
      </c>
      <c r="L82" s="6" t="n">
        <f aca="false">IF($K$86=0,"",K82/$K$86)</f>
        <v>0.00245417309777216</v>
      </c>
      <c r="M82" s="6" t="n">
        <f aca="false">IF(G82=0,"",K82/G82)</f>
        <v>0.640327012634579</v>
      </c>
      <c r="N82" s="5" t="n">
        <f aca="false">SUMIFS(Dettaglio!$M$5:$M$126,Dettaglio!$B$5:$B$126,B82)</f>
        <v>1472.6</v>
      </c>
      <c r="O82" s="5" t="n">
        <f aca="false">G82-N82</f>
        <v>-5.99000000000001</v>
      </c>
      <c r="P82" s="10" t="n">
        <f aca="false">COUNTIFS(Dettaglio!$B$5:$B$126,B82,Dettaglio!$D$5:$D$126,"Quadro")+COUNTIFS(Dettaglio!$B$5:$B$126,B82,Dettaglio!$D$5:$D$126,"Variante")</f>
        <v>0</v>
      </c>
      <c r="Q82" s="4"/>
    </row>
    <row r="83" customFormat="false" ht="15" hidden="false" customHeight="false" outlineLevel="0" collapsed="false">
      <c r="A83" s="4" t="s">
        <v>18</v>
      </c>
      <c r="B83" s="4" t="s">
        <v>282</v>
      </c>
      <c r="C83" s="4" t="s">
        <v>283</v>
      </c>
      <c r="D83" s="4" t="s">
        <v>284</v>
      </c>
      <c r="E83" s="4" t="s">
        <v>285</v>
      </c>
      <c r="F83" s="4" t="s">
        <v>47</v>
      </c>
      <c r="G83" s="5" t="n">
        <f aca="false">SUMIFS(Dettaglio!$I$5:$I$126,Dettaglio!$B$5:$B$126,B83)</f>
        <v>185.37</v>
      </c>
      <c r="H83" s="6" t="n">
        <f aca="false">IF($G$86=0,"",G83/$G$86)</f>
        <v>0.00010752882154688</v>
      </c>
      <c r="I83" s="5" t="n">
        <f aca="false">SUMIFS(Dettaglio!$J$5:$J$126,Dettaglio!$B$5:$B$126,B83)</f>
        <v>116</v>
      </c>
      <c r="J83" s="6" t="n">
        <f aca="false">IF($I$86=0,"",I83/$I$86)</f>
        <v>8.64863910532274E-005</v>
      </c>
      <c r="K83" s="5" t="n">
        <f aca="false">G83-I83</f>
        <v>69.37</v>
      </c>
      <c r="L83" s="6" t="n">
        <f aca="false">IF($K$86=0,"",K83/$K$86)</f>
        <v>0.000181284394578329</v>
      </c>
      <c r="M83" s="6" t="n">
        <f aca="false">IF(G83=0,"",K83/G83)</f>
        <v>0.374224523925123</v>
      </c>
      <c r="N83" s="5" t="n">
        <f aca="false">SUMIFS(Dettaglio!$M$5:$M$126,Dettaglio!$B$5:$B$126,B83)</f>
        <v>200.37</v>
      </c>
      <c r="O83" s="5" t="n">
        <f aca="false">G83-N83</f>
        <v>-15</v>
      </c>
      <c r="P83" s="10" t="n">
        <f aca="false">COUNTIFS(Dettaglio!$B$5:$B$126,B83,Dettaglio!$D$5:$D$126,"Quadro")+COUNTIFS(Dettaglio!$B$5:$B$126,B83,Dettaglio!$D$5:$D$126,"Variante")</f>
        <v>0</v>
      </c>
      <c r="Q83" s="4"/>
    </row>
    <row r="84" customFormat="false" ht="15" hidden="false" customHeight="false" outlineLevel="0" collapsed="false">
      <c r="A84" s="4" t="s">
        <v>18</v>
      </c>
      <c r="B84" s="4" t="s">
        <v>286</v>
      </c>
      <c r="C84" s="4" t="s">
        <v>287</v>
      </c>
      <c r="D84" s="4" t="s">
        <v>255</v>
      </c>
      <c r="E84" s="4" t="s">
        <v>256</v>
      </c>
      <c r="F84" s="4" t="s">
        <v>47</v>
      </c>
      <c r="G84" s="5" t="n">
        <f aca="false">SUMIFS(Dettaglio!$I$5:$I$126,Dettaglio!$B$5:$B$126,B84)</f>
        <v>3824.72</v>
      </c>
      <c r="H84" s="6" t="n">
        <f aca="false">IF($G$86=0,"",G84/$G$86)</f>
        <v>0.00221863103170299</v>
      </c>
      <c r="I84" s="5" t="n">
        <f aca="false">SUMIFS(Dettaglio!$J$5:$J$126,Dettaglio!$B$5:$B$126,B84)</f>
        <v>1414.5</v>
      </c>
      <c r="J84" s="6" t="n">
        <f aca="false">IF($I$86=0,"",I84/$I$86)</f>
        <v>0.00105461207021371</v>
      </c>
      <c r="K84" s="5" t="n">
        <f aca="false">G84-I84</f>
        <v>2410.22</v>
      </c>
      <c r="L84" s="6" t="n">
        <f aca="false">IF($K$86=0,"",K84/$K$86)</f>
        <v>0.00629862005911173</v>
      </c>
      <c r="M84" s="6" t="n">
        <f aca="false">IF(G84=0,"",K84/G84)</f>
        <v>0.630169005835721</v>
      </c>
      <c r="N84" s="5" t="n">
        <f aca="false">SUMIFS(Dettaglio!$M$5:$M$126,Dettaglio!$B$5:$B$126,B84)</f>
        <v>7146.32</v>
      </c>
      <c r="O84" s="5" t="n">
        <f aca="false">G84-N84</f>
        <v>-3321.6</v>
      </c>
      <c r="P84" s="10" t="n">
        <f aca="false">COUNTIFS(Dettaglio!$B$5:$B$126,B84,Dettaglio!$D$5:$D$126,"Quadro")+COUNTIFS(Dettaglio!$B$5:$B$126,B84,Dettaglio!$D$5:$D$126,"Variante")</f>
        <v>0</v>
      </c>
      <c r="Q84" s="4"/>
    </row>
    <row r="85" customFormat="false" ht="15" hidden="false" customHeight="false" outlineLevel="0" collapsed="false">
      <c r="A85" s="4" t="s">
        <v>18</v>
      </c>
      <c r="B85" s="4" t="s">
        <v>288</v>
      </c>
      <c r="C85" s="4" t="s">
        <v>289</v>
      </c>
      <c r="D85" s="4" t="s">
        <v>290</v>
      </c>
      <c r="E85" s="4" t="s">
        <v>291</v>
      </c>
      <c r="F85" s="4" t="s">
        <v>47</v>
      </c>
      <c r="G85" s="5" t="n">
        <f aca="false">SUMIFS(Dettaglio!$I$5:$I$126,Dettaglio!$B$5:$B$126,B85)</f>
        <v>2297.69</v>
      </c>
      <c r="H85" s="6" t="n">
        <f aca="false">IF($G$86=0,"",G85/$G$86)</f>
        <v>0.00133283647828695</v>
      </c>
      <c r="I85" s="5" t="n">
        <f aca="false">SUMIFS(Dettaglio!$J$5:$J$126,Dettaglio!$B$5:$B$126,B85)</f>
        <v>907</v>
      </c>
      <c r="J85" s="6" t="n">
        <f aca="false">IF($I$86=0,"",I85/$I$86)</f>
        <v>0.000676234109355838</v>
      </c>
      <c r="K85" s="5" t="n">
        <f aca="false">G85-I85</f>
        <v>1390.69</v>
      </c>
      <c r="L85" s="6" t="n">
        <f aca="false">IF($K$86=0,"",K85/$K$86)</f>
        <v>0.00363428563782812</v>
      </c>
      <c r="M85" s="6" t="n">
        <f aca="false">IF(G85=0,"",K85/G85)</f>
        <v>0.605255713346883</v>
      </c>
      <c r="N85" s="5" t="n">
        <f aca="false">SUMIFS(Dettaglio!$M$5:$M$126,Dettaglio!$B$5:$B$126,B85)</f>
        <v>2297.68</v>
      </c>
      <c r="O85" s="5" t="n">
        <f aca="false">G85-N85</f>
        <v>0.0100000000002183</v>
      </c>
      <c r="P85" s="10" t="n">
        <f aca="false">COUNTIFS(Dettaglio!$B$5:$B$126,B85,Dettaglio!$D$5:$D$126,"Quadro")+COUNTIFS(Dettaglio!$B$5:$B$126,B85,Dettaglio!$D$5:$D$126,"Variante")</f>
        <v>0</v>
      </c>
      <c r="Q85" s="4"/>
    </row>
    <row r="86" customFormat="false" ht="15" hidden="false" customHeight="false" outlineLevel="0" collapsed="false">
      <c r="A86" s="15" t="s">
        <v>292</v>
      </c>
      <c r="B86" s="15"/>
      <c r="C86" s="15"/>
      <c r="D86" s="15"/>
      <c r="E86" s="15"/>
      <c r="F86" s="15"/>
      <c r="G86" s="16" t="n">
        <f aca="false">SUM(G5:G85)</f>
        <v>1723909.9</v>
      </c>
      <c r="H86" s="17" t="n">
        <f aca="false">IF(G86=0,"",G86/G86)</f>
        <v>1</v>
      </c>
      <c r="I86" s="16" t="n">
        <f aca="false">SUM(I5:I85)</f>
        <v>1341251.48</v>
      </c>
      <c r="J86" s="17" t="n">
        <f aca="false">IF(G86=0,"",I86/G86)</f>
        <v>0.778028758927598</v>
      </c>
      <c r="K86" s="16" t="n">
        <f aca="false">SUM(K5:K85)</f>
        <v>382658.42</v>
      </c>
      <c r="L86" s="17" t="n">
        <f aca="false">IF(G86=0,"",K86/G86)</f>
        <v>0.221971241072402</v>
      </c>
      <c r="M86" s="17" t="n">
        <f aca="false">IF(G86=0,"",K86/G86)</f>
        <v>0.221971241072402</v>
      </c>
      <c r="N86" s="16" t="n">
        <f aca="false">SUM(N5:N85)</f>
        <v>1756792.8</v>
      </c>
      <c r="O86" s="16" t="n">
        <f aca="false">SUM(O5:O85)</f>
        <v>-32882.9</v>
      </c>
      <c r="P86" s="18" t="n">
        <f aca="false">SUM(P5:P85)</f>
        <v>43</v>
      </c>
      <c r="Q86" s="15"/>
    </row>
    <row r="87" customFormat="false" ht="15" hidden="false" customHeight="false" outlineLevel="0" collapsed="false">
      <c r="A87" s="2" t="s">
        <v>293</v>
      </c>
    </row>
  </sheetData>
  <autoFilter ref="A4:Q85"/>
  <conditionalFormatting sqref="K5:K85">
    <cfRule type="cellIs" priority="2" operator="lessThan" aboveAverage="0" equalAverage="0" bottom="0" percent="0" rank="0" text="" dxfId="5">
      <formula>0</formula>
    </cfRule>
  </conditionalFormatting>
  <conditionalFormatting sqref="O5:O85"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7" min="6" style="0" width="16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4" customFormat="false" ht="30" hidden="false" customHeight="true" outlineLevel="0" collapsed="false">
      <c r="A4" s="3" t="s">
        <v>33</v>
      </c>
      <c r="B4" s="3" t="s">
        <v>34</v>
      </c>
      <c r="C4" s="3" t="s">
        <v>16</v>
      </c>
      <c r="D4" s="3" t="s">
        <v>11</v>
      </c>
      <c r="E4" s="3" t="s">
        <v>36</v>
      </c>
      <c r="F4" s="3" t="s">
        <v>37</v>
      </c>
      <c r="G4" s="3" t="s">
        <v>13</v>
      </c>
      <c r="H4" s="3" t="s">
        <v>14</v>
      </c>
      <c r="I4" s="3" t="s">
        <v>15</v>
      </c>
      <c r="J4" s="3" t="s">
        <v>296</v>
      </c>
    </row>
    <row r="5" customFormat="false" ht="15" hidden="false" customHeight="false" outlineLevel="0" collapsed="false">
      <c r="A5" s="4" t="s">
        <v>68</v>
      </c>
      <c r="B5" s="4" t="s">
        <v>69</v>
      </c>
      <c r="C5" s="10" t="n">
        <f aca="false">COUNTIF(Commesse!$D$5:$D$85,A5)</f>
        <v>2</v>
      </c>
      <c r="D5" s="5" t="n">
        <f aca="false">SUMIFS(Dettaglio!$I$5:$I$126,Dettaglio!$F$5:$F$126,A5)</f>
        <v>589717.49</v>
      </c>
      <c r="E5" s="6" t="n">
        <f aca="false">IF($D$49=0,"",D5/$D$49)</f>
        <v>0.342081387200108</v>
      </c>
      <c r="F5" s="5" t="n">
        <f aca="false">SUMIFS(Dettaglio!$J$5:$J$126,Dettaglio!$F$5:$F$126,A5)</f>
        <v>573089.1</v>
      </c>
      <c r="G5" s="5" t="n">
        <f aca="false">D5-F5</f>
        <v>16628.39</v>
      </c>
      <c r="H5" s="6" t="n">
        <f aca="false">IF(D5=0,"",G5/D5)</f>
        <v>0.0281972135505088</v>
      </c>
      <c r="I5" s="5" t="n">
        <f aca="false">SUMIFS(Dettaglio!$M$5:$M$126,Dettaglio!$F$5:$F$126,A5)</f>
        <v>589717.49</v>
      </c>
      <c r="J5" s="5" t="n">
        <f aca="false">D5-I5</f>
        <v>0</v>
      </c>
    </row>
    <row r="6" customFormat="false" ht="15" hidden="false" customHeight="false" outlineLevel="0" collapsed="false">
      <c r="A6" s="4" t="s">
        <v>53</v>
      </c>
      <c r="B6" s="4" t="s">
        <v>54</v>
      </c>
      <c r="C6" s="10" t="n">
        <f aca="false">COUNTIF(Commesse!$D$5:$D$85,A6)</f>
        <v>3</v>
      </c>
      <c r="D6" s="5" t="n">
        <f aca="false">SUMIFS(Dettaglio!$I$5:$I$126,Dettaglio!$F$5:$F$126,A6)</f>
        <v>356117.55</v>
      </c>
      <c r="E6" s="6" t="n">
        <f aca="false">IF($D$49=0,"",D6/$D$49)</f>
        <v>0.206575500262514</v>
      </c>
      <c r="F6" s="5" t="n">
        <f aca="false">SUMIFS(Dettaglio!$J$5:$J$126,Dettaglio!$F$5:$F$126,A6)</f>
        <v>391308.52</v>
      </c>
      <c r="G6" s="5" t="n">
        <f aca="false">D6-F6</f>
        <v>-35190.97</v>
      </c>
      <c r="H6" s="6" t="n">
        <f aca="false">IF(D6=0,"",G6/D6)</f>
        <v>-0.098818409820016</v>
      </c>
      <c r="I6" s="5" t="n">
        <f aca="false">SUMIFS(Dettaglio!$M$5:$M$126,Dettaglio!$F$5:$F$126,A6)</f>
        <v>356117.55</v>
      </c>
      <c r="J6" s="5" t="n">
        <f aca="false">D6-I6</f>
        <v>0</v>
      </c>
    </row>
    <row r="7" customFormat="false" ht="15" hidden="false" customHeight="false" outlineLevel="0" collapsed="false">
      <c r="A7" s="4" t="s">
        <v>45</v>
      </c>
      <c r="B7" s="4" t="s">
        <v>46</v>
      </c>
      <c r="C7" s="10" t="n">
        <f aca="false">COUNTIF(Commesse!$D$5:$D$85,A7)</f>
        <v>3</v>
      </c>
      <c r="D7" s="5" t="n">
        <f aca="false">SUMIFS(Dettaglio!$I$5:$I$126,Dettaglio!$F$5:$F$126,A7)</f>
        <v>171522.98</v>
      </c>
      <c r="E7" s="6" t="n">
        <f aca="false">IF($D$49=0,"",D7/$D$49)</f>
        <v>0.0994964876064579</v>
      </c>
      <c r="F7" s="5" t="n">
        <f aca="false">SUMIFS(Dettaglio!$J$5:$J$126,Dettaglio!$F$5:$F$126,A7)</f>
        <v>72175.88</v>
      </c>
      <c r="G7" s="5" t="n">
        <f aca="false">D7-F7</f>
        <v>99347.1</v>
      </c>
      <c r="H7" s="6" t="n">
        <f aca="false">IF(D7=0,"",G7/D7)</f>
        <v>0.57920577172808</v>
      </c>
      <c r="I7" s="5" t="n">
        <f aca="false">SUMIFS(Dettaglio!$M$5:$M$126,Dettaglio!$F$5:$F$126,A7)</f>
        <v>171522.98</v>
      </c>
      <c r="J7" s="5" t="n">
        <f aca="false">D7-I7</f>
        <v>0</v>
      </c>
    </row>
    <row r="8" customFormat="false" ht="15" hidden="false" customHeight="false" outlineLevel="0" collapsed="false">
      <c r="A8" s="4" t="s">
        <v>75</v>
      </c>
      <c r="B8" s="4" t="s">
        <v>76</v>
      </c>
      <c r="C8" s="10" t="n">
        <f aca="false">COUNTIF(Commesse!$D$5:$D$85,A8)</f>
        <v>2</v>
      </c>
      <c r="D8" s="5" t="n">
        <f aca="false">SUMIFS(Dettaglio!$I$5:$I$126,Dettaglio!$F$5:$F$126,A8)</f>
        <v>154520</v>
      </c>
      <c r="E8" s="6" t="n">
        <f aca="false">IF($D$49=0,"",D8/$D$49)</f>
        <v>0.0896334547414572</v>
      </c>
      <c r="F8" s="5" t="n">
        <f aca="false">SUMIFS(Dettaglio!$J$5:$J$126,Dettaglio!$F$5:$F$126,A8)</f>
        <v>84502.14</v>
      </c>
      <c r="G8" s="5" t="n">
        <f aca="false">D8-F8</f>
        <v>70017.86</v>
      </c>
      <c r="H8" s="6" t="n">
        <f aca="false">IF(D8=0,"",G8/D8)</f>
        <v>0.453131374579343</v>
      </c>
      <c r="I8" s="5" t="n">
        <f aca="false">SUMIFS(Dettaglio!$M$5:$M$126,Dettaglio!$F$5:$F$126,A8)</f>
        <v>154520</v>
      </c>
      <c r="J8" s="5" t="n">
        <f aca="false">D8-I8</f>
        <v>0</v>
      </c>
    </row>
    <row r="9" customFormat="false" ht="15" hidden="false" customHeight="false" outlineLevel="0" collapsed="false">
      <c r="A9" s="4" t="s">
        <v>79</v>
      </c>
      <c r="B9" s="4" t="s">
        <v>80</v>
      </c>
      <c r="C9" s="10" t="n">
        <f aca="false">COUNTIF(Commesse!$D$5:$D$85,A9)</f>
        <v>9</v>
      </c>
      <c r="D9" s="5" t="n">
        <f aca="false">SUMIFS(Dettaglio!$I$5:$I$126,Dettaglio!$F$5:$F$126,A9)</f>
        <v>147471.51</v>
      </c>
      <c r="E9" s="6" t="n">
        <f aca="false">IF($D$49=0,"",D9/$D$49)</f>
        <v>0.0855447897828071</v>
      </c>
      <c r="F9" s="5" t="n">
        <f aca="false">SUMIFS(Dettaglio!$J$5:$J$126,Dettaglio!$F$5:$F$126,A9)</f>
        <v>102540.43</v>
      </c>
      <c r="G9" s="5" t="n">
        <f aca="false">D9-F9</f>
        <v>44931.08</v>
      </c>
      <c r="H9" s="6" t="n">
        <f aca="false">IF(D9=0,"",G9/D9)</f>
        <v>0.304676340535199</v>
      </c>
      <c r="I9" s="5" t="n">
        <f aca="false">SUMIFS(Dettaglio!$M$5:$M$126,Dettaglio!$F$5:$F$126,A9)</f>
        <v>149710.17</v>
      </c>
      <c r="J9" s="5" t="n">
        <f aca="false">D9-I9</f>
        <v>-2238.66</v>
      </c>
    </row>
    <row r="10" customFormat="false" ht="15" hidden="false" customHeight="false" outlineLevel="0" collapsed="false">
      <c r="A10" s="4" t="s">
        <v>57</v>
      </c>
      <c r="B10" s="4" t="s">
        <v>58</v>
      </c>
      <c r="C10" s="10" t="n">
        <f aca="false">COUNTIF(Commesse!$D$5:$D$85,A10)</f>
        <v>6</v>
      </c>
      <c r="D10" s="5" t="n">
        <f aca="false">SUMIFS(Dettaglio!$I$5:$I$126,Dettaglio!$F$5:$F$126,A10)</f>
        <v>90602.98</v>
      </c>
      <c r="E10" s="6" t="n">
        <f aca="false">IF($D$49=0,"",D10/$D$49)</f>
        <v>0.0525566794413095</v>
      </c>
      <c r="F10" s="5" t="n">
        <f aca="false">SUMIFS(Dettaglio!$J$5:$J$126,Dettaglio!$F$5:$F$126,A10)</f>
        <v>44361.88</v>
      </c>
      <c r="G10" s="5" t="n">
        <f aca="false">D10-F10</f>
        <v>46241.1</v>
      </c>
      <c r="H10" s="6" t="n">
        <f aca="false">IF(D10=0,"",G10/D10)</f>
        <v>0.5103706301934</v>
      </c>
      <c r="I10" s="5" t="n">
        <f aca="false">SUMIFS(Dettaglio!$M$5:$M$126,Dettaglio!$F$5:$F$126,A10)</f>
        <v>90335.95</v>
      </c>
      <c r="J10" s="5" t="n">
        <f aca="false">D10-I10</f>
        <v>267.029999999999</v>
      </c>
    </row>
    <row r="11" customFormat="false" ht="15" hidden="false" customHeight="false" outlineLevel="0" collapsed="false">
      <c r="A11" s="4" t="s">
        <v>83</v>
      </c>
      <c r="B11" s="4" t="s">
        <v>84</v>
      </c>
      <c r="C11" s="10" t="n">
        <f aca="false">COUNTIF(Commesse!$D$5:$D$85,A11)</f>
        <v>1</v>
      </c>
      <c r="D11" s="5" t="n">
        <f aca="false">SUMIFS(Dettaglio!$I$5:$I$126,Dettaglio!$F$5:$F$126,A11)</f>
        <v>57217</v>
      </c>
      <c r="E11" s="6" t="n">
        <f aca="false">IF($D$49=0,"",D11/$D$49)</f>
        <v>0.0331902496760417</v>
      </c>
      <c r="F11" s="5" t="n">
        <f aca="false">SUMIFS(Dettaglio!$J$5:$J$126,Dettaglio!$F$5:$F$126,A11)</f>
        <v>20578.35</v>
      </c>
      <c r="G11" s="5" t="n">
        <f aca="false">D11-F11</f>
        <v>36638.65</v>
      </c>
      <c r="H11" s="6" t="n">
        <f aca="false">IF(D11=0,"",G11/D11)</f>
        <v>0.640345526679134</v>
      </c>
      <c r="I11" s="5" t="n">
        <f aca="false">SUMIFS(Dettaglio!$M$5:$M$126,Dettaglio!$F$5:$F$126,A11)</f>
        <v>57217</v>
      </c>
      <c r="J11" s="5" t="n">
        <f aca="false">D11-I11</f>
        <v>0</v>
      </c>
    </row>
    <row r="12" customFormat="false" ht="15" hidden="false" customHeight="false" outlineLevel="0" collapsed="false">
      <c r="A12" s="4" t="s">
        <v>97</v>
      </c>
      <c r="B12" s="4" t="s">
        <v>98</v>
      </c>
      <c r="C12" s="10" t="n">
        <f aca="false">COUNTIF(Commesse!$D$5:$D$85,A12)</f>
        <v>5</v>
      </c>
      <c r="D12" s="5" t="n">
        <f aca="false">SUMIFS(Dettaglio!$I$5:$I$126,Dettaglio!$F$5:$F$126,A12)</f>
        <v>52342.38</v>
      </c>
      <c r="E12" s="6" t="n">
        <f aca="false">IF($D$49=0,"",D12/$D$49)</f>
        <v>0.0303625960962345</v>
      </c>
      <c r="F12" s="5" t="n">
        <f aca="false">SUMIFS(Dettaglio!$J$5:$J$126,Dettaglio!$F$5:$F$126,A12)</f>
        <v>16720</v>
      </c>
      <c r="G12" s="5" t="n">
        <f aca="false">D12-F12</f>
        <v>35622.38</v>
      </c>
      <c r="H12" s="6" t="n">
        <f aca="false">IF(D12=0,"",G12/D12)</f>
        <v>0.680564773707271</v>
      </c>
      <c r="I12" s="5" t="n">
        <f aca="false">SUMIFS(Dettaglio!$M$5:$M$126,Dettaglio!$F$5:$F$126,A12)</f>
        <v>52173.53</v>
      </c>
      <c r="J12" s="5" t="n">
        <f aca="false">D12-I12</f>
        <v>168.850000000006</v>
      </c>
    </row>
    <row r="13" customFormat="false" ht="15" hidden="false" customHeight="false" outlineLevel="0" collapsed="false">
      <c r="A13" s="4" t="s">
        <v>175</v>
      </c>
      <c r="B13" s="4" t="s">
        <v>176</v>
      </c>
      <c r="C13" s="10" t="n">
        <f aca="false">COUNTIF(Commesse!$D$5:$D$85,A13)</f>
        <v>2</v>
      </c>
      <c r="D13" s="5" t="n">
        <f aca="false">SUMIFS(Dettaglio!$I$5:$I$126,Dettaglio!$F$5:$F$126,A13)</f>
        <v>20313.95</v>
      </c>
      <c r="E13" s="6" t="n">
        <f aca="false">IF($D$49=0,"",D13/$D$49)</f>
        <v>0.0117836494819132</v>
      </c>
      <c r="F13" s="5" t="n">
        <f aca="false">SUMIFS(Dettaglio!$J$5:$J$126,Dettaglio!$F$5:$F$126,A13)</f>
        <v>10655</v>
      </c>
      <c r="G13" s="5" t="n">
        <f aca="false">D13-F13</f>
        <v>9658.95</v>
      </c>
      <c r="H13" s="6" t="n">
        <f aca="false">IF(D13=0,"",G13/D13)</f>
        <v>0.475483596247899</v>
      </c>
      <c r="I13" s="5" t="n">
        <f aca="false">SUMIFS(Dettaglio!$M$5:$M$126,Dettaglio!$F$5:$F$126,A13)</f>
        <v>20083.15</v>
      </c>
      <c r="J13" s="5" t="n">
        <f aca="false">D13-I13</f>
        <v>230.799999999999</v>
      </c>
    </row>
    <row r="14" customFormat="false" ht="15" hidden="false" customHeight="false" outlineLevel="0" collapsed="false">
      <c r="A14" s="4" t="s">
        <v>135</v>
      </c>
      <c r="B14" s="4" t="s">
        <v>136</v>
      </c>
      <c r="C14" s="10" t="n">
        <f aca="false">COUNTIF(Commesse!$D$5:$D$85,A14)</f>
        <v>2</v>
      </c>
      <c r="D14" s="5" t="n">
        <f aca="false">SUMIFS(Dettaglio!$I$5:$I$126,Dettaglio!$F$5:$F$126,A14)</f>
        <v>17214.5</v>
      </c>
      <c r="E14" s="6" t="n">
        <f aca="false">IF($D$49=0,"",D14/$D$49)</f>
        <v>0.00998573069276997</v>
      </c>
      <c r="F14" s="5" t="n">
        <f aca="false">SUMIFS(Dettaglio!$J$5:$J$126,Dettaglio!$F$5:$F$126,A14)</f>
        <v>2566.29</v>
      </c>
      <c r="G14" s="5" t="n">
        <f aca="false">D14-F14</f>
        <v>14648.21</v>
      </c>
      <c r="H14" s="6" t="n">
        <f aca="false">IF(D14=0,"",G14/D14)</f>
        <v>0.850922768596242</v>
      </c>
      <c r="I14" s="5" t="n">
        <f aca="false">SUMIFS(Dettaglio!$M$5:$M$126,Dettaglio!$F$5:$F$126,A14)</f>
        <v>17282.8</v>
      </c>
      <c r="J14" s="5" t="n">
        <f aca="false">D14-I14</f>
        <v>-68.2999999999993</v>
      </c>
    </row>
    <row r="15" customFormat="false" ht="15" hidden="false" customHeight="false" outlineLevel="0" collapsed="false">
      <c r="A15" s="4" t="s">
        <v>255</v>
      </c>
      <c r="B15" s="4" t="s">
        <v>256</v>
      </c>
      <c r="C15" s="10" t="n">
        <f aca="false">COUNTIF(Commesse!$D$5:$D$85,A15)</f>
        <v>2</v>
      </c>
      <c r="D15" s="5" t="n">
        <f aca="false">SUMIFS(Dettaglio!$I$5:$I$126,Dettaglio!$F$5:$F$126,A15)</f>
        <v>13982.14</v>
      </c>
      <c r="E15" s="6" t="n">
        <f aca="false">IF($D$49=0,"",D15/$D$49)</f>
        <v>0.00811071390679989</v>
      </c>
      <c r="F15" s="5" t="n">
        <f aca="false">SUMIFS(Dettaglio!$J$5:$J$126,Dettaglio!$F$5:$F$126,A15)</f>
        <v>6800.5</v>
      </c>
      <c r="G15" s="5" t="n">
        <f aca="false">D15-F15</f>
        <v>7181.64</v>
      </c>
      <c r="H15" s="6" t="n">
        <f aca="false">IF(D15=0,"",G15/D15)</f>
        <v>0.513629530243582</v>
      </c>
      <c r="I15" s="5" t="n">
        <f aca="false">SUMIFS(Dettaglio!$M$5:$M$126,Dettaglio!$F$5:$F$126,A15)</f>
        <v>24041.56</v>
      </c>
      <c r="J15" s="5" t="n">
        <f aca="false">D15-I15</f>
        <v>-10059.42</v>
      </c>
    </row>
    <row r="16" customFormat="false" ht="15" hidden="false" customHeight="false" outlineLevel="0" collapsed="false">
      <c r="A16" s="4" t="s">
        <v>213</v>
      </c>
      <c r="B16" s="4" t="s">
        <v>214</v>
      </c>
      <c r="C16" s="10" t="n">
        <f aca="false">COUNTIF(Commesse!$D$5:$D$85,A16)</f>
        <v>4</v>
      </c>
      <c r="D16" s="5" t="n">
        <f aca="false">SUMIFS(Dettaglio!$I$5:$I$126,Dettaglio!$F$5:$F$126,A16)</f>
        <v>10516.39</v>
      </c>
      <c r="E16" s="6" t="n">
        <f aca="false">IF($D$49=0,"",D16/$D$49)</f>
        <v>0.00610031301519876</v>
      </c>
      <c r="F16" s="5" t="n">
        <f aca="false">SUMIFS(Dettaglio!$J$5:$J$126,Dettaglio!$F$5:$F$126,A16)</f>
        <v>3888</v>
      </c>
      <c r="G16" s="5" t="n">
        <f aca="false">D16-F16</f>
        <v>6628.39</v>
      </c>
      <c r="H16" s="6" t="n">
        <f aca="false">IF(D16=0,"",G16/D16)</f>
        <v>0.630291383259845</v>
      </c>
      <c r="I16" s="5" t="n">
        <f aca="false">SUMIFS(Dettaglio!$M$5:$M$126,Dettaglio!$F$5:$F$126,A16)</f>
        <v>10484.15</v>
      </c>
      <c r="J16" s="5" t="n">
        <f aca="false">D16-I16</f>
        <v>32.2399999999998</v>
      </c>
    </row>
    <row r="17" customFormat="false" ht="15" hidden="false" customHeight="false" outlineLevel="0" collapsed="false">
      <c r="A17" s="4" t="s">
        <v>129</v>
      </c>
      <c r="B17" s="4" t="s">
        <v>130</v>
      </c>
      <c r="C17" s="10" t="n">
        <f aca="false">COUNTIF(Commesse!$D$5:$D$85,A17)</f>
        <v>4</v>
      </c>
      <c r="D17" s="5" t="n">
        <f aca="false">SUMIFS(Dettaglio!$I$5:$I$126,Dettaglio!$F$5:$F$126,A17)</f>
        <v>7347.92</v>
      </c>
      <c r="E17" s="6" t="n">
        <f aca="false">IF($D$49=0,"",D17/$D$49)</f>
        <v>0.00426235733085587</v>
      </c>
      <c r="F17" s="5" t="n">
        <f aca="false">SUMIFS(Dettaglio!$J$5:$J$126,Dettaglio!$F$5:$F$126,A17)</f>
        <v>1636.63</v>
      </c>
      <c r="G17" s="5" t="n">
        <f aca="false">D17-F17</f>
        <v>5711.29</v>
      </c>
      <c r="H17" s="6" t="n">
        <f aca="false">IF(D17=0,"",G17/D17)</f>
        <v>0.77726621955601</v>
      </c>
      <c r="I17" s="5" t="n">
        <f aca="false">SUMIFS(Dettaglio!$M$5:$M$126,Dettaglio!$F$5:$F$126,A17)</f>
        <v>28342.81</v>
      </c>
      <c r="J17" s="5" t="n">
        <f aca="false">D17-I17</f>
        <v>-20994.89</v>
      </c>
    </row>
    <row r="18" customFormat="false" ht="15" hidden="false" customHeight="false" outlineLevel="0" collapsed="false">
      <c r="A18" s="4" t="s">
        <v>64</v>
      </c>
      <c r="B18" s="4" t="s">
        <v>65</v>
      </c>
      <c r="C18" s="10" t="n">
        <f aca="false">COUNTIF(Commesse!$D$5:$D$85,A18)</f>
        <v>1</v>
      </c>
      <c r="D18" s="5" t="n">
        <f aca="false">SUMIFS(Dettaglio!$I$5:$I$126,Dettaglio!$F$5:$F$126,A18)</f>
        <v>4909.32</v>
      </c>
      <c r="E18" s="6" t="n">
        <f aca="false">IF($D$49=0,"",D18/$D$49)</f>
        <v>0.00284778224198376</v>
      </c>
      <c r="F18" s="5" t="n">
        <f aca="false">SUMIFS(Dettaglio!$J$5:$J$126,Dettaglio!$F$5:$F$126,A18)</f>
        <v>0</v>
      </c>
      <c r="G18" s="5" t="n">
        <f aca="false">D18-F18</f>
        <v>4909.32</v>
      </c>
      <c r="H18" s="6" t="n">
        <f aca="false">IF(D18=0,"",G18/D18)</f>
        <v>1</v>
      </c>
      <c r="I18" s="5" t="n">
        <f aca="false">SUMIFS(Dettaglio!$M$5:$M$126,Dettaglio!$F$5:$F$126,A18)</f>
        <v>4909.32</v>
      </c>
      <c r="J18" s="5" t="n">
        <f aca="false">D18-I18</f>
        <v>0</v>
      </c>
    </row>
    <row r="19" customFormat="false" ht="15" hidden="false" customHeight="false" outlineLevel="0" collapsed="false">
      <c r="A19" s="4" t="s">
        <v>151</v>
      </c>
      <c r="B19" s="4" t="s">
        <v>152</v>
      </c>
      <c r="C19" s="10" t="n">
        <f aca="false">COUNTIF(Commesse!$D$5:$D$85,A19)</f>
        <v>2</v>
      </c>
      <c r="D19" s="5" t="n">
        <f aca="false">SUMIFS(Dettaglio!$I$5:$I$126,Dettaglio!$F$5:$F$126,A19)</f>
        <v>3805.67</v>
      </c>
      <c r="E19" s="6" t="n">
        <f aca="false">IF($D$49=0,"",D19/$D$49)</f>
        <v>0.00220758057019105</v>
      </c>
      <c r="F19" s="5" t="n">
        <f aca="false">SUMIFS(Dettaglio!$J$5:$J$126,Dettaglio!$F$5:$F$126,A19)</f>
        <v>997</v>
      </c>
      <c r="G19" s="5" t="n">
        <f aca="false">D19-F19</f>
        <v>2808.67</v>
      </c>
      <c r="H19" s="6" t="n">
        <f aca="false">IF(D19=0,"",G19/D19)</f>
        <v>0.738022476988283</v>
      </c>
      <c r="I19" s="5" t="n">
        <f aca="false">SUMIFS(Dettaglio!$M$5:$M$126,Dettaglio!$F$5:$F$126,A19)</f>
        <v>3805.67</v>
      </c>
      <c r="J19" s="5" t="n">
        <f aca="false">D19-I19</f>
        <v>0</v>
      </c>
    </row>
    <row r="20" customFormat="false" ht="15" hidden="false" customHeight="false" outlineLevel="0" collapsed="false">
      <c r="A20" s="4" t="s">
        <v>87</v>
      </c>
      <c r="B20" s="4" t="s">
        <v>88</v>
      </c>
      <c r="C20" s="10" t="n">
        <f aca="false">COUNTIF(Commesse!$D$5:$D$85,A20)</f>
        <v>2</v>
      </c>
      <c r="D20" s="5" t="n">
        <f aca="false">SUMIFS(Dettaglio!$I$5:$I$126,Dettaglio!$F$5:$F$126,A20)</f>
        <v>2792.4</v>
      </c>
      <c r="E20" s="6" t="n">
        <f aca="false">IF($D$49=0,"",D20/$D$49)</f>
        <v>0.00161980623233268</v>
      </c>
      <c r="F20" s="5" t="n">
        <f aca="false">SUMIFS(Dettaglio!$J$5:$J$126,Dettaglio!$F$5:$F$126,A20)</f>
        <v>1348.51</v>
      </c>
      <c r="G20" s="5" t="n">
        <f aca="false">D20-F20</f>
        <v>1443.89</v>
      </c>
      <c r="H20" s="6" t="n">
        <f aca="false">IF(D20=0,"",G20/D20)</f>
        <v>0.517078498782409</v>
      </c>
      <c r="I20" s="5" t="n">
        <f aca="false">SUMIFS(Dettaglio!$M$5:$M$126,Dettaglio!$F$5:$F$126,A20)</f>
        <v>2792.4</v>
      </c>
      <c r="J20" s="5" t="n">
        <f aca="false">D20-I20</f>
        <v>0</v>
      </c>
    </row>
    <row r="21" customFormat="false" ht="15" hidden="false" customHeight="false" outlineLevel="0" collapsed="false">
      <c r="A21" s="4" t="s">
        <v>165</v>
      </c>
      <c r="B21" s="4" t="s">
        <v>166</v>
      </c>
      <c r="C21" s="10" t="n">
        <f aca="false">COUNTIF(Commesse!$D$5:$D$85,A21)</f>
        <v>2</v>
      </c>
      <c r="D21" s="5" t="n">
        <f aca="false">SUMIFS(Dettaglio!$I$5:$I$126,Dettaglio!$F$5:$F$126,A21)</f>
        <v>2688.1</v>
      </c>
      <c r="E21" s="6" t="n">
        <f aca="false">IF($D$49=0,"",D21/$D$49)</f>
        <v>0.00155930423045891</v>
      </c>
      <c r="F21" s="5" t="n">
        <f aca="false">SUMIFS(Dettaglio!$J$5:$J$126,Dettaglio!$F$5:$F$126,A21)</f>
        <v>34.5</v>
      </c>
      <c r="G21" s="5" t="n">
        <f aca="false">D21-F21</f>
        <v>2653.6</v>
      </c>
      <c r="H21" s="6" t="n">
        <f aca="false">IF(D21=0,"",G21/D21)</f>
        <v>0.987165656039582</v>
      </c>
      <c r="I21" s="5" t="n">
        <f aca="false">SUMIFS(Dettaglio!$M$5:$M$126,Dettaglio!$F$5:$F$126,A21)</f>
        <v>2688.05</v>
      </c>
      <c r="J21" s="5" t="n">
        <f aca="false">D21-I21</f>
        <v>0.0500000000001819</v>
      </c>
    </row>
    <row r="22" customFormat="false" ht="15" hidden="false" customHeight="false" outlineLevel="0" collapsed="false">
      <c r="A22" s="4" t="s">
        <v>143</v>
      </c>
      <c r="B22" s="4" t="s">
        <v>144</v>
      </c>
      <c r="C22" s="10" t="n">
        <f aca="false">COUNTIF(Commesse!$D$5:$D$85,A22)</f>
        <v>2</v>
      </c>
      <c r="D22" s="5" t="n">
        <f aca="false">SUMIFS(Dettaglio!$I$5:$I$126,Dettaglio!$F$5:$F$126,A22)</f>
        <v>2607.22</v>
      </c>
      <c r="E22" s="6" t="n">
        <f aca="false">IF($D$49=0,"",D22/$D$49)</f>
        <v>0.00151238762536256</v>
      </c>
      <c r="F22" s="5" t="n">
        <f aca="false">SUMIFS(Dettaglio!$J$5:$J$126,Dettaglio!$F$5:$F$126,A22)</f>
        <v>804.5</v>
      </c>
      <c r="G22" s="5" t="n">
        <f aca="false">D22-F22</f>
        <v>1802.72</v>
      </c>
      <c r="H22" s="6" t="n">
        <f aca="false">IF(D22=0,"",G22/D22)</f>
        <v>0.691433787712583</v>
      </c>
      <c r="I22" s="5" t="n">
        <f aca="false">SUMIFS(Dettaglio!$M$5:$M$126,Dettaglio!$F$5:$F$126,A22)</f>
        <v>2607.15</v>
      </c>
      <c r="J22" s="5" t="n">
        <f aca="false">D22-I22</f>
        <v>0.0700000000001637</v>
      </c>
    </row>
    <row r="23" customFormat="false" ht="15" hidden="false" customHeight="false" outlineLevel="0" collapsed="false">
      <c r="A23" s="4" t="s">
        <v>107</v>
      </c>
      <c r="B23" s="4" t="s">
        <v>108</v>
      </c>
      <c r="C23" s="10" t="n">
        <f aca="false">COUNTIF(Commesse!$D$5:$D$85,A23)</f>
        <v>1</v>
      </c>
      <c r="D23" s="5" t="n">
        <f aca="false">SUMIFS(Dettaglio!$I$5:$I$126,Dettaglio!$F$5:$F$126,A23)</f>
        <v>2500</v>
      </c>
      <c r="E23" s="6" t="n">
        <f aca="false">IF($D$49=0,"",D23/$D$49)</f>
        <v>0.00145019179946701</v>
      </c>
      <c r="F23" s="5" t="n">
        <f aca="false">SUMIFS(Dettaglio!$J$5:$J$126,Dettaglio!$F$5:$F$126,A23)</f>
        <v>1573.35</v>
      </c>
      <c r="G23" s="5" t="n">
        <f aca="false">D23-F23</f>
        <v>926.65</v>
      </c>
      <c r="H23" s="6" t="n">
        <f aca="false">IF(D23=0,"",G23/D23)</f>
        <v>0.37066</v>
      </c>
      <c r="I23" s="5" t="n">
        <f aca="false">SUMIFS(Dettaglio!$M$5:$M$126,Dettaglio!$F$5:$F$126,A23)</f>
        <v>2500</v>
      </c>
      <c r="J23" s="5" t="n">
        <f aca="false">D23-I23</f>
        <v>0</v>
      </c>
    </row>
    <row r="24" customFormat="false" ht="15" hidden="false" customHeight="false" outlineLevel="0" collapsed="false">
      <c r="A24" s="4" t="s">
        <v>157</v>
      </c>
      <c r="B24" s="4" t="s">
        <v>158</v>
      </c>
      <c r="C24" s="10" t="n">
        <f aca="false">COUNTIF(Commesse!$D$5:$D$85,A24)</f>
        <v>2</v>
      </c>
      <c r="D24" s="5" t="n">
        <f aca="false">SUMIFS(Dettaglio!$I$5:$I$126,Dettaglio!$F$5:$F$126,A24)</f>
        <v>2472.74</v>
      </c>
      <c r="E24" s="6" t="n">
        <f aca="false">IF($D$49=0,"",D24/$D$49)</f>
        <v>0.00143437890808563</v>
      </c>
      <c r="F24" s="5" t="n">
        <f aca="false">SUMIFS(Dettaglio!$J$5:$J$126,Dettaglio!$F$5:$F$126,A24)</f>
        <v>852</v>
      </c>
      <c r="G24" s="5" t="n">
        <f aca="false">D24-F24</f>
        <v>1620.74</v>
      </c>
      <c r="H24" s="6" t="n">
        <f aca="false">IF(D24=0,"",G24/D24)</f>
        <v>0.655442949925993</v>
      </c>
      <c r="I24" s="5" t="n">
        <f aca="false">SUMIFS(Dettaglio!$M$5:$M$126,Dettaglio!$F$5:$F$126,A24)</f>
        <v>2537.31</v>
      </c>
      <c r="J24" s="5" t="n">
        <f aca="false">D24-I24</f>
        <v>-64.5700000000002</v>
      </c>
    </row>
    <row r="25" customFormat="false" ht="15" hidden="false" customHeight="false" outlineLevel="0" collapsed="false">
      <c r="A25" s="4" t="s">
        <v>290</v>
      </c>
      <c r="B25" s="4" t="s">
        <v>291</v>
      </c>
      <c r="C25" s="10" t="n">
        <f aca="false">COUNTIF(Commesse!$D$5:$D$85,A25)</f>
        <v>1</v>
      </c>
      <c r="D25" s="5" t="n">
        <f aca="false">SUMIFS(Dettaglio!$I$5:$I$126,Dettaglio!$F$5:$F$126,A25)</f>
        <v>2297.69</v>
      </c>
      <c r="E25" s="6" t="n">
        <f aca="false">IF($D$49=0,"",D25/$D$49)</f>
        <v>0.00133283647828695</v>
      </c>
      <c r="F25" s="5" t="n">
        <f aca="false">SUMIFS(Dettaglio!$J$5:$J$126,Dettaglio!$F$5:$F$126,A25)</f>
        <v>907</v>
      </c>
      <c r="G25" s="5" t="n">
        <f aca="false">D25-F25</f>
        <v>1390.69</v>
      </c>
      <c r="H25" s="6" t="n">
        <f aca="false">IF(D25=0,"",G25/D25)</f>
        <v>0.605255713346883</v>
      </c>
      <c r="I25" s="5" t="n">
        <f aca="false">SUMIFS(Dettaglio!$M$5:$M$126,Dettaglio!$F$5:$F$126,A25)</f>
        <v>2297.68</v>
      </c>
      <c r="J25" s="5" t="n">
        <f aca="false">D25-I25</f>
        <v>0.0100000000002183</v>
      </c>
    </row>
    <row r="26" customFormat="false" ht="15" hidden="false" customHeight="false" outlineLevel="0" collapsed="false">
      <c r="A26" s="4" t="s">
        <v>181</v>
      </c>
      <c r="B26" s="4" t="s">
        <v>182</v>
      </c>
      <c r="C26" s="10" t="n">
        <f aca="false">COUNTIF(Commesse!$D$5:$D$85,A26)</f>
        <v>1</v>
      </c>
      <c r="D26" s="5" t="n">
        <f aca="false">SUMIFS(Dettaglio!$I$5:$I$126,Dettaglio!$F$5:$F$126,A26)</f>
        <v>2158.8</v>
      </c>
      <c r="E26" s="6" t="n">
        <f aca="false">IF($D$49=0,"",D26/$D$49)</f>
        <v>0.00125226962267576</v>
      </c>
      <c r="F26" s="5" t="n">
        <f aca="false">SUMIFS(Dettaglio!$J$5:$J$126,Dettaglio!$F$5:$F$126,A26)</f>
        <v>387</v>
      </c>
      <c r="G26" s="5" t="n">
        <f aca="false">D26-F26</f>
        <v>1771.8</v>
      </c>
      <c r="H26" s="6" t="n">
        <f aca="false">IF(D26=0,"",G26/D26)</f>
        <v>0.820733740967204</v>
      </c>
      <c r="I26" s="5" t="n">
        <f aca="false">SUMIFS(Dettaglio!$M$5:$M$126,Dettaglio!$F$5:$F$126,A26)</f>
        <v>2262</v>
      </c>
      <c r="J26" s="5" t="n">
        <f aca="false">D26-I26</f>
        <v>-103.2</v>
      </c>
    </row>
    <row r="27" customFormat="false" ht="15" hidden="false" customHeight="false" outlineLevel="0" collapsed="false">
      <c r="A27" s="4" t="s">
        <v>221</v>
      </c>
      <c r="B27" s="4" t="s">
        <v>222</v>
      </c>
      <c r="C27" s="10" t="n">
        <f aca="false">COUNTIF(Commesse!$D$5:$D$85,A27)</f>
        <v>1</v>
      </c>
      <c r="D27" s="5" t="n">
        <f aca="false">SUMIFS(Dettaglio!$I$5:$I$126,Dettaglio!$F$5:$F$126,A27)</f>
        <v>1662.06</v>
      </c>
      <c r="E27" s="6" t="n">
        <f aca="false">IF($D$49=0,"",D27/$D$49)</f>
        <v>0.000964122312888858</v>
      </c>
      <c r="F27" s="5" t="n">
        <f aca="false">SUMIFS(Dettaglio!$J$5:$J$126,Dettaglio!$F$5:$F$126,A27)</f>
        <v>557</v>
      </c>
      <c r="G27" s="5" t="n">
        <f aca="false">D27-F27</f>
        <v>1105.06</v>
      </c>
      <c r="H27" s="6" t="n">
        <f aca="false">IF(D27=0,"",G27/D27)</f>
        <v>0.66487371093703</v>
      </c>
      <c r="I27" s="5" t="n">
        <f aca="false">SUMIFS(Dettaglio!$M$5:$M$126,Dettaglio!$F$5:$F$126,A27)</f>
        <v>1662.05</v>
      </c>
      <c r="J27" s="5" t="n">
        <f aca="false">D27-I27</f>
        <v>0.00999999999999091</v>
      </c>
    </row>
    <row r="28" customFormat="false" ht="15" hidden="false" customHeight="false" outlineLevel="0" collapsed="false">
      <c r="A28" s="4" t="s">
        <v>280</v>
      </c>
      <c r="B28" s="4" t="s">
        <v>281</v>
      </c>
      <c r="C28" s="10" t="n">
        <f aca="false">COUNTIF(Commesse!$D$5:$D$85,A28)</f>
        <v>1</v>
      </c>
      <c r="D28" s="5" t="n">
        <f aca="false">SUMIFS(Dettaglio!$I$5:$I$126,Dettaglio!$F$5:$F$126,A28)</f>
        <v>1466.61</v>
      </c>
      <c r="E28" s="6" t="n">
        <f aca="false">IF($D$49=0,"",D28/$D$49)</f>
        <v>0.000850746318006527</v>
      </c>
      <c r="F28" s="5" t="n">
        <f aca="false">SUMIFS(Dettaglio!$J$5:$J$126,Dettaglio!$F$5:$F$126,A28)</f>
        <v>527.5</v>
      </c>
      <c r="G28" s="5" t="n">
        <f aca="false">D28-F28</f>
        <v>939.11</v>
      </c>
      <c r="H28" s="6" t="n">
        <f aca="false">IF(D28=0,"",G28/D28)</f>
        <v>0.640327012634579</v>
      </c>
      <c r="I28" s="5" t="n">
        <f aca="false">SUMIFS(Dettaglio!$M$5:$M$126,Dettaglio!$F$5:$F$126,A28)</f>
        <v>1472.6</v>
      </c>
      <c r="J28" s="5" t="n">
        <f aca="false">D28-I28</f>
        <v>-5.99000000000001</v>
      </c>
    </row>
    <row r="29" customFormat="false" ht="15" hidden="false" customHeight="false" outlineLevel="0" collapsed="false">
      <c r="A29" s="4" t="s">
        <v>272</v>
      </c>
      <c r="B29" s="4" t="s">
        <v>273</v>
      </c>
      <c r="C29" s="10" t="n">
        <f aca="false">COUNTIF(Commesse!$D$5:$D$85,A29)</f>
        <v>1</v>
      </c>
      <c r="D29" s="5" t="n">
        <f aca="false">SUMIFS(Dettaglio!$I$5:$I$126,Dettaglio!$F$5:$F$126,A29)</f>
        <v>1062.2</v>
      </c>
      <c r="E29" s="6" t="n">
        <f aca="false">IF($D$49=0,"",D29/$D$49)</f>
        <v>0.000616157491757545</v>
      </c>
      <c r="F29" s="5" t="n">
        <f aca="false">SUMIFS(Dettaglio!$J$5:$J$126,Dettaglio!$F$5:$F$126,A29)</f>
        <v>276</v>
      </c>
      <c r="G29" s="5" t="n">
        <f aca="false">D29-F29</f>
        <v>786.2</v>
      </c>
      <c r="H29" s="6" t="n">
        <f aca="false">IF(D29=0,"",G29/D29)</f>
        <v>0.740161928073809</v>
      </c>
      <c r="I29" s="5" t="n">
        <f aca="false">SUMIFS(Dettaglio!$M$5:$M$126,Dettaglio!$F$5:$F$126,A29)</f>
        <v>1062.2</v>
      </c>
      <c r="J29" s="5" t="n">
        <f aca="false">D29-I29</f>
        <v>0</v>
      </c>
    </row>
    <row r="30" customFormat="false" ht="15" hidden="false" customHeight="false" outlineLevel="0" collapsed="false">
      <c r="A30" s="4" t="s">
        <v>227</v>
      </c>
      <c r="B30" s="4" t="s">
        <v>228</v>
      </c>
      <c r="C30" s="10" t="n">
        <f aca="false">COUNTIF(Commesse!$D$5:$D$85,A30)</f>
        <v>1</v>
      </c>
      <c r="D30" s="5" t="n">
        <f aca="false">SUMIFS(Dettaglio!$I$5:$I$126,Dettaglio!$F$5:$F$126,A30)</f>
        <v>967.14</v>
      </c>
      <c r="E30" s="6" t="n">
        <f aca="false">IF($D$49=0,"",D30/$D$49)</f>
        <v>0.000561015398774611</v>
      </c>
      <c r="F30" s="5" t="n">
        <f aca="false">SUMIFS(Dettaglio!$J$5:$J$126,Dettaglio!$F$5:$F$126,A30)</f>
        <v>425.5</v>
      </c>
      <c r="G30" s="5" t="n">
        <f aca="false">D30-F30</f>
        <v>541.64</v>
      </c>
      <c r="H30" s="6" t="n">
        <f aca="false">IF(D30=0,"",G30/D30)</f>
        <v>0.560043013421015</v>
      </c>
      <c r="I30" s="5" t="n">
        <f aca="false">SUMIFS(Dettaglio!$M$5:$M$126,Dettaglio!$F$5:$F$126,A30)</f>
        <v>967.11</v>
      </c>
      <c r="J30" s="5" t="n">
        <f aca="false">D30-I30</f>
        <v>0.0299999999999727</v>
      </c>
    </row>
    <row r="31" customFormat="false" ht="15" hidden="false" customHeight="false" outlineLevel="0" collapsed="false">
      <c r="A31" s="4" t="s">
        <v>161</v>
      </c>
      <c r="B31" s="4" t="s">
        <v>162</v>
      </c>
      <c r="C31" s="10" t="n">
        <f aca="false">COUNTIF(Commesse!$D$5:$D$85,A31)</f>
        <v>2</v>
      </c>
      <c r="D31" s="5" t="n">
        <f aca="false">SUMIFS(Dettaglio!$I$5:$I$126,Dettaglio!$F$5:$F$126,A31)</f>
        <v>571.62</v>
      </c>
      <c r="E31" s="6" t="n">
        <f aca="false">IF($D$49=0,"",D31/$D$49)</f>
        <v>0.000331583454564534</v>
      </c>
      <c r="F31" s="5" t="n">
        <f aca="false">SUMIFS(Dettaglio!$J$5:$J$126,Dettaglio!$F$5:$F$126,A31)</f>
        <v>230</v>
      </c>
      <c r="G31" s="5" t="n">
        <f aca="false">D31-F31</f>
        <v>341.62</v>
      </c>
      <c r="H31" s="6" t="n">
        <f aca="false">IF(D31=0,"",G31/D31)</f>
        <v>0.597634792344565</v>
      </c>
      <c r="I31" s="5" t="n">
        <f aca="false">SUMIFS(Dettaglio!$M$5:$M$126,Dettaglio!$F$5:$F$126,A31)</f>
        <v>571.61</v>
      </c>
      <c r="J31" s="5" t="n">
        <f aca="false">D31-I31</f>
        <v>0.00999999999999091</v>
      </c>
    </row>
    <row r="32" customFormat="false" ht="15" hidden="false" customHeight="false" outlineLevel="0" collapsed="false">
      <c r="A32" s="4" t="s">
        <v>171</v>
      </c>
      <c r="B32" s="4" t="s">
        <v>172</v>
      </c>
      <c r="C32" s="10" t="n">
        <f aca="false">COUNTIF(Commesse!$D$5:$D$85,A32)</f>
        <v>1</v>
      </c>
      <c r="D32" s="5" t="n">
        <f aca="false">SUMIFS(Dettaglio!$I$5:$I$126,Dettaglio!$F$5:$F$126,A32)</f>
        <v>431.92</v>
      </c>
      <c r="E32" s="6" t="n">
        <f aca="false">IF($D$49=0,"",D32/$D$49)</f>
        <v>0.000250546736810317</v>
      </c>
      <c r="F32" s="5" t="n">
        <f aca="false">SUMIFS(Dettaglio!$J$5:$J$126,Dettaglio!$F$5:$F$126,A32)</f>
        <v>199.5</v>
      </c>
      <c r="G32" s="5" t="n">
        <f aca="false">D32-F32</f>
        <v>232.42</v>
      </c>
      <c r="H32" s="6" t="n">
        <f aca="false">IF(D32=0,"",G32/D32)</f>
        <v>0.538108909057233</v>
      </c>
      <c r="I32" s="5" t="n">
        <f aca="false">SUMIFS(Dettaglio!$M$5:$M$126,Dettaglio!$F$5:$F$126,A32)</f>
        <v>431.91</v>
      </c>
      <c r="J32" s="5" t="n">
        <f aca="false">D32-I32</f>
        <v>0.00999999999999091</v>
      </c>
    </row>
    <row r="33" customFormat="false" ht="15" hidden="false" customHeight="false" outlineLevel="0" collapsed="false">
      <c r="A33" s="4" t="s">
        <v>235</v>
      </c>
      <c r="B33" s="4" t="s">
        <v>236</v>
      </c>
      <c r="C33" s="10" t="n">
        <f aca="false">COUNTIF(Commesse!$D$5:$D$85,A33)</f>
        <v>1</v>
      </c>
      <c r="D33" s="5" t="n">
        <f aca="false">SUMIFS(Dettaglio!$I$5:$I$126,Dettaglio!$F$5:$F$126,A33)</f>
        <v>333.91</v>
      </c>
      <c r="E33" s="6" t="n">
        <f aca="false">IF($D$49=0,"",D33/$D$49)</f>
        <v>0.000193693417504012</v>
      </c>
      <c r="F33" s="5" t="n">
        <f aca="false">SUMIFS(Dettaglio!$J$5:$J$126,Dettaglio!$F$5:$F$126,A33)</f>
        <v>136</v>
      </c>
      <c r="G33" s="5" t="n">
        <f aca="false">D33-F33</f>
        <v>197.91</v>
      </c>
      <c r="H33" s="6" t="n">
        <f aca="false">IF(D33=0,"",G33/D33)</f>
        <v>0.59270462100566</v>
      </c>
      <c r="I33" s="5" t="n">
        <f aca="false">SUMIFS(Dettaglio!$M$5:$M$126,Dettaglio!$F$5:$F$126,A33)</f>
        <v>333.91</v>
      </c>
      <c r="J33" s="5" t="n">
        <f aca="false">D33-I33</f>
        <v>0</v>
      </c>
    </row>
    <row r="34" customFormat="false" ht="15" hidden="false" customHeight="false" outlineLevel="0" collapsed="false">
      <c r="A34" s="4" t="s">
        <v>201</v>
      </c>
      <c r="B34" s="4" t="s">
        <v>202</v>
      </c>
      <c r="C34" s="10" t="n">
        <f aca="false">COUNTIF(Commesse!$D$5:$D$85,A34)</f>
        <v>1</v>
      </c>
      <c r="D34" s="5" t="n">
        <f aca="false">SUMIFS(Dettaglio!$I$5:$I$126,Dettaglio!$F$5:$F$126,A34)</f>
        <v>315</v>
      </c>
      <c r="E34" s="6" t="n">
        <f aca="false">IF($D$49=0,"",D34/$D$49)</f>
        <v>0.000182724166732844</v>
      </c>
      <c r="F34" s="5" t="n">
        <f aca="false">SUMIFS(Dettaglio!$J$5:$J$126,Dettaglio!$F$5:$F$126,A34)</f>
        <v>230</v>
      </c>
      <c r="G34" s="5" t="n">
        <f aca="false">D34-F34</f>
        <v>85</v>
      </c>
      <c r="H34" s="6" t="n">
        <f aca="false">IF(D34=0,"",G34/D34)</f>
        <v>0.26984126984127</v>
      </c>
      <c r="I34" s="5" t="n">
        <f aca="false">SUMIFS(Dettaglio!$M$5:$M$126,Dettaglio!$F$5:$F$126,A34)</f>
        <v>315</v>
      </c>
      <c r="J34" s="5" t="n">
        <f aca="false">D34-I34</f>
        <v>0</v>
      </c>
    </row>
    <row r="35" customFormat="false" ht="15" hidden="false" customHeight="false" outlineLevel="0" collapsed="false">
      <c r="A35" s="4" t="s">
        <v>231</v>
      </c>
      <c r="B35" s="4" t="s">
        <v>232</v>
      </c>
      <c r="C35" s="10" t="n">
        <f aca="false">COUNTIF(Commesse!$D$5:$D$85,A35)</f>
        <v>1</v>
      </c>
      <c r="D35" s="5" t="n">
        <f aca="false">SUMIFS(Dettaglio!$I$5:$I$126,Dettaglio!$F$5:$F$126,A35)</f>
        <v>283.73</v>
      </c>
      <c r="E35" s="6" t="n">
        <f aca="false">IF($D$49=0,"",D35/$D$49)</f>
        <v>0.00016458516770511</v>
      </c>
      <c r="F35" s="5" t="n">
        <f aca="false">SUMIFS(Dettaglio!$J$5:$J$126,Dettaglio!$F$5:$F$126,A35)</f>
        <v>115</v>
      </c>
      <c r="G35" s="5" t="n">
        <f aca="false">D35-F35</f>
        <v>168.73</v>
      </c>
      <c r="H35" s="6" t="n">
        <f aca="false">IF(D35=0,"",G35/D35)</f>
        <v>0.594685087935714</v>
      </c>
      <c r="I35" s="5" t="n">
        <f aca="false">SUMIFS(Dettaglio!$M$5:$M$126,Dettaglio!$F$5:$F$126,A35)</f>
        <v>283.73</v>
      </c>
      <c r="J35" s="5" t="n">
        <f aca="false">D35-I35</f>
        <v>0</v>
      </c>
    </row>
    <row r="36" customFormat="false" ht="15" hidden="false" customHeight="false" outlineLevel="0" collapsed="false">
      <c r="A36" s="4" t="s">
        <v>268</v>
      </c>
      <c r="B36" s="4" t="s">
        <v>269</v>
      </c>
      <c r="C36" s="10" t="n">
        <f aca="false">COUNTIF(Commesse!$D$5:$D$85,A36)</f>
        <v>1</v>
      </c>
      <c r="D36" s="5" t="n">
        <f aca="false">SUMIFS(Dettaglio!$I$5:$I$126,Dettaglio!$F$5:$F$126,A36)</f>
        <v>250.5</v>
      </c>
      <c r="E36" s="6" t="n">
        <f aca="false">IF($D$49=0,"",D36/$D$49)</f>
        <v>0.000145309218306595</v>
      </c>
      <c r="F36" s="5" t="n">
        <f aca="false">SUMIFS(Dettaglio!$J$5:$J$126,Dettaglio!$F$5:$F$126,A36)</f>
        <v>46</v>
      </c>
      <c r="G36" s="5" t="n">
        <f aca="false">D36-F36</f>
        <v>204.5</v>
      </c>
      <c r="H36" s="6" t="n">
        <f aca="false">IF(D36=0,"",G36/D36)</f>
        <v>0.816367265469062</v>
      </c>
      <c r="I36" s="5" t="n">
        <f aca="false">SUMIFS(Dettaglio!$M$5:$M$126,Dettaglio!$F$5:$F$126,A36)</f>
        <v>250.5</v>
      </c>
      <c r="J36" s="5" t="n">
        <f aca="false">D36-I36</f>
        <v>0</v>
      </c>
    </row>
    <row r="37" customFormat="false" ht="15" hidden="false" customHeight="false" outlineLevel="0" collapsed="false">
      <c r="A37" s="4" t="s">
        <v>258</v>
      </c>
      <c r="B37" s="4" t="s">
        <v>259</v>
      </c>
      <c r="C37" s="10" t="n">
        <f aca="false">COUNTIF(Commesse!$D$5:$D$85,A37)</f>
        <v>1</v>
      </c>
      <c r="D37" s="5" t="n">
        <f aca="false">SUMIFS(Dettaglio!$I$5:$I$126,Dettaglio!$F$5:$F$126,A37)</f>
        <v>249.38</v>
      </c>
      <c r="E37" s="6" t="n">
        <f aca="false">IF($D$49=0,"",D37/$D$49)</f>
        <v>0.000144659532380434</v>
      </c>
      <c r="F37" s="5" t="n">
        <f aca="false">SUMIFS(Dettaglio!$J$5:$J$126,Dettaglio!$F$5:$F$126,A37)</f>
        <v>69</v>
      </c>
      <c r="G37" s="5" t="n">
        <f aca="false">D37-F37</f>
        <v>180.38</v>
      </c>
      <c r="H37" s="6" t="n">
        <f aca="false">IF(D37=0,"",G37/D37)</f>
        <v>0.723313818269308</v>
      </c>
      <c r="I37" s="5" t="n">
        <f aca="false">SUMIFS(Dettaglio!$M$5:$M$126,Dettaglio!$F$5:$F$126,A37)</f>
        <v>249.37</v>
      </c>
      <c r="J37" s="5" t="n">
        <f aca="false">D37-I37</f>
        <v>0.00999999999999091</v>
      </c>
    </row>
    <row r="38" customFormat="false" ht="15" hidden="false" customHeight="false" outlineLevel="0" collapsed="false">
      <c r="A38" s="4" t="s">
        <v>243</v>
      </c>
      <c r="B38" s="4" t="s">
        <v>244</v>
      </c>
      <c r="C38" s="10" t="n">
        <f aca="false">COUNTIF(Commesse!$D$5:$D$85,A38)</f>
        <v>1</v>
      </c>
      <c r="D38" s="5" t="n">
        <f aca="false">SUMIFS(Dettaglio!$I$5:$I$126,Dettaglio!$F$5:$F$126,A38)</f>
        <v>233.11</v>
      </c>
      <c r="E38" s="6" t="n">
        <f aca="false">IF($D$49=0,"",D38/$D$49)</f>
        <v>0.000135221684149502</v>
      </c>
      <c r="F38" s="5" t="n">
        <f aca="false">SUMIFS(Dettaglio!$J$5:$J$126,Dettaglio!$F$5:$F$126,A38)</f>
        <v>69</v>
      </c>
      <c r="G38" s="5" t="n">
        <f aca="false">D38-F38</f>
        <v>164.11</v>
      </c>
      <c r="H38" s="6" t="n">
        <f aca="false">IF(D38=0,"",G38/D38)</f>
        <v>0.704002402299344</v>
      </c>
      <c r="I38" s="5" t="n">
        <f aca="false">SUMIFS(Dettaglio!$M$5:$M$126,Dettaglio!$F$5:$F$126,A38)</f>
        <v>233.11</v>
      </c>
      <c r="J38" s="5" t="n">
        <f aca="false">D38-I38</f>
        <v>0</v>
      </c>
    </row>
    <row r="39" customFormat="false" ht="15" hidden="false" customHeight="false" outlineLevel="0" collapsed="false">
      <c r="A39" s="4" t="s">
        <v>276</v>
      </c>
      <c r="B39" s="4" t="s">
        <v>277</v>
      </c>
      <c r="C39" s="10" t="n">
        <f aca="false">COUNTIF(Commesse!$D$5:$D$85,A39)</f>
        <v>1</v>
      </c>
      <c r="D39" s="5" t="n">
        <f aca="false">SUMIFS(Dettaglio!$I$5:$I$126,Dettaglio!$F$5:$F$126,A39)</f>
        <v>195.46</v>
      </c>
      <c r="E39" s="6" t="n">
        <f aca="false">IF($D$49=0,"",D39/$D$49)</f>
        <v>0.000113381795649529</v>
      </c>
      <c r="F39" s="5" t="n">
        <f aca="false">SUMIFS(Dettaglio!$J$5:$J$126,Dettaglio!$F$5:$F$126,A39)</f>
        <v>69</v>
      </c>
      <c r="G39" s="5" t="n">
        <f aca="false">D39-F39</f>
        <v>126.46</v>
      </c>
      <c r="H39" s="6" t="n">
        <f aca="false">IF(D39=0,"",G39/D39)</f>
        <v>0.64698659572291</v>
      </c>
      <c r="I39" s="5" t="n">
        <f aca="false">SUMIFS(Dettaglio!$M$5:$M$126,Dettaglio!$F$5:$F$126,A39)</f>
        <v>195.45</v>
      </c>
      <c r="J39" s="5" t="n">
        <f aca="false">D39-I39</f>
        <v>0.0100000000000193</v>
      </c>
    </row>
    <row r="40" customFormat="false" ht="15" hidden="false" customHeight="false" outlineLevel="0" collapsed="false">
      <c r="A40" s="4" t="s">
        <v>284</v>
      </c>
      <c r="B40" s="4" t="s">
        <v>285</v>
      </c>
      <c r="C40" s="10" t="n">
        <f aca="false">COUNTIF(Commesse!$D$5:$D$85,A40)</f>
        <v>1</v>
      </c>
      <c r="D40" s="5" t="n">
        <f aca="false">SUMIFS(Dettaglio!$I$5:$I$126,Dettaglio!$F$5:$F$126,A40)</f>
        <v>185.37</v>
      </c>
      <c r="E40" s="6" t="n">
        <f aca="false">IF($D$49=0,"",D40/$D$49)</f>
        <v>0.00010752882154688</v>
      </c>
      <c r="F40" s="5" t="n">
        <f aca="false">SUMIFS(Dettaglio!$J$5:$J$126,Dettaglio!$F$5:$F$126,A40)</f>
        <v>116</v>
      </c>
      <c r="G40" s="5" t="n">
        <f aca="false">D40-F40</f>
        <v>69.37</v>
      </c>
      <c r="H40" s="6" t="n">
        <f aca="false">IF(D40=0,"",G40/D40)</f>
        <v>0.374224523925123</v>
      </c>
      <c r="I40" s="5" t="n">
        <f aca="false">SUMIFS(Dettaglio!$M$5:$M$126,Dettaglio!$F$5:$F$126,A40)</f>
        <v>200.37</v>
      </c>
      <c r="J40" s="5" t="n">
        <f aca="false">D40-I40</f>
        <v>-15</v>
      </c>
    </row>
    <row r="41" customFormat="false" ht="15" hidden="false" customHeight="false" outlineLevel="0" collapsed="false">
      <c r="A41" s="4" t="s">
        <v>190</v>
      </c>
      <c r="B41" s="4" t="s">
        <v>191</v>
      </c>
      <c r="C41" s="10" t="n">
        <f aca="false">COUNTIF(Commesse!$D$5:$D$85,A41)</f>
        <v>1</v>
      </c>
      <c r="D41" s="5" t="n">
        <f aca="false">SUMIFS(Dettaglio!$I$5:$I$126,Dettaglio!$F$5:$F$126,A41)</f>
        <v>181</v>
      </c>
      <c r="E41" s="6" t="n">
        <f aca="false">IF($D$49=0,"",D41/$D$49)</f>
        <v>0.000104993886281412</v>
      </c>
      <c r="F41" s="5" t="n">
        <f aca="false">SUMIFS(Dettaglio!$J$5:$J$126,Dettaglio!$F$5:$F$126,A41)</f>
        <v>66</v>
      </c>
      <c r="G41" s="5" t="n">
        <f aca="false">D41-F41</f>
        <v>115</v>
      </c>
      <c r="H41" s="6" t="n">
        <f aca="false">IF(D41=0,"",G41/D41)</f>
        <v>0.6353591160221</v>
      </c>
      <c r="I41" s="5" t="n">
        <f aca="false">SUMIFS(Dettaglio!$M$5:$M$126,Dettaglio!$F$5:$F$126,A41)</f>
        <v>98</v>
      </c>
      <c r="J41" s="5" t="n">
        <f aca="false">D41-I41</f>
        <v>83</v>
      </c>
    </row>
    <row r="42" customFormat="false" ht="15" hidden="false" customHeight="false" outlineLevel="0" collapsed="false">
      <c r="A42" s="4" t="s">
        <v>197</v>
      </c>
      <c r="B42" s="4" t="s">
        <v>198</v>
      </c>
      <c r="C42" s="10" t="n">
        <f aca="false">COUNTIF(Commesse!$D$5:$D$85,A42)</f>
        <v>1</v>
      </c>
      <c r="D42" s="5" t="n">
        <f aca="false">SUMIFS(Dettaglio!$I$5:$I$126,Dettaglio!$F$5:$F$126,A42)</f>
        <v>148.4</v>
      </c>
      <c r="E42" s="6" t="n">
        <f aca="false">IF($D$49=0,"",D42/$D$49)</f>
        <v>8.6083385216362E-005</v>
      </c>
      <c r="F42" s="5" t="n">
        <f aca="false">SUMIFS(Dettaglio!$J$5:$J$126,Dettaglio!$F$5:$F$126,A42)</f>
        <v>92</v>
      </c>
      <c r="G42" s="5" t="n">
        <f aca="false">D42-F42</f>
        <v>56.4</v>
      </c>
      <c r="H42" s="6" t="n">
        <f aca="false">IF(D42=0,"",G42/D42)</f>
        <v>0.380053908355795</v>
      </c>
      <c r="I42" s="5" t="n">
        <f aca="false">SUMIFS(Dettaglio!$M$5:$M$126,Dettaglio!$F$5:$F$126,A42)</f>
        <v>148.4</v>
      </c>
      <c r="J42" s="5" t="n">
        <f aca="false">D42-I42</f>
        <v>0</v>
      </c>
    </row>
    <row r="43" customFormat="false" ht="15" hidden="false" customHeight="false" outlineLevel="0" collapsed="false">
      <c r="A43" s="4" t="s">
        <v>264</v>
      </c>
      <c r="B43" s="4" t="s">
        <v>265</v>
      </c>
      <c r="C43" s="10" t="n">
        <f aca="false">COUNTIF(Commesse!$D$5:$D$85,A43)</f>
        <v>1</v>
      </c>
      <c r="D43" s="5" t="n">
        <f aca="false">SUMIFS(Dettaglio!$I$5:$I$126,Dettaglio!$F$5:$F$126,A43)</f>
        <v>68.09</v>
      </c>
      <c r="E43" s="6" t="n">
        <f aca="false">IF($D$49=0,"",D43/$D$49)</f>
        <v>3.94974238502836E-005</v>
      </c>
      <c r="F43" s="5" t="n">
        <f aca="false">SUMIFS(Dettaglio!$J$5:$J$126,Dettaglio!$F$5:$F$126,A43)</f>
        <v>23</v>
      </c>
      <c r="G43" s="5" t="n">
        <f aca="false">D43-F43</f>
        <v>45.09</v>
      </c>
      <c r="H43" s="6" t="n">
        <f aca="false">IF(D43=0,"",G43/D43)</f>
        <v>0.662211778528418</v>
      </c>
      <c r="I43" s="5" t="n">
        <f aca="false">SUMIFS(Dettaglio!$M$5:$M$126,Dettaglio!$F$5:$F$126,A43)</f>
        <v>183.09</v>
      </c>
      <c r="J43" s="5" t="n">
        <f aca="false">D43-I43</f>
        <v>-115</v>
      </c>
    </row>
    <row r="44" customFormat="false" ht="15" hidden="false" customHeight="false" outlineLevel="0" collapsed="false">
      <c r="A44" s="4" t="s">
        <v>147</v>
      </c>
      <c r="B44" s="4" t="s">
        <v>148</v>
      </c>
      <c r="C44" s="10" t="n">
        <f aca="false">COUNTIF(Commesse!$D$5:$D$85,A44)</f>
        <v>1</v>
      </c>
      <c r="D44" s="5" t="n">
        <f aca="false">SUMIFS(Dettaglio!$I$5:$I$126,Dettaglio!$F$5:$F$126,A44)</f>
        <v>65.67</v>
      </c>
      <c r="E44" s="6" t="n">
        <f aca="false">IF($D$49=0,"",D44/$D$49)</f>
        <v>3.80936381883995E-005</v>
      </c>
      <c r="F44" s="5" t="n">
        <f aca="false">SUMIFS(Dettaglio!$J$5:$J$126,Dettaglio!$F$5:$F$126,A44)</f>
        <v>0</v>
      </c>
      <c r="G44" s="5" t="n">
        <f aca="false">D44-F44</f>
        <v>65.67</v>
      </c>
      <c r="H44" s="6" t="n">
        <f aca="false">IF(D44=0,"",G44/D44)</f>
        <v>1</v>
      </c>
      <c r="I44" s="5" t="n">
        <f aca="false">SUMIFS(Dettaglio!$M$5:$M$126,Dettaglio!$F$5:$F$126,A44)</f>
        <v>65.67</v>
      </c>
      <c r="J44" s="5" t="n">
        <f aca="false">D44-I44</f>
        <v>0</v>
      </c>
    </row>
    <row r="45" customFormat="false" ht="15" hidden="false" customHeight="false" outlineLevel="0" collapsed="false">
      <c r="A45" s="4" t="s">
        <v>207</v>
      </c>
      <c r="B45" s="4" t="s">
        <v>208</v>
      </c>
      <c r="C45" s="10" t="n">
        <f aca="false">COUNTIF(Commesse!$D$5:$D$85,A45)</f>
        <v>1</v>
      </c>
      <c r="D45" s="5" t="n">
        <f aca="false">SUMIFS(Dettaglio!$I$5:$I$126,Dettaglio!$F$5:$F$126,A45)</f>
        <v>60</v>
      </c>
      <c r="E45" s="6" t="n">
        <f aca="false">IF($D$49=0,"",D45/$D$49)</f>
        <v>3.48046031872083E-005</v>
      </c>
      <c r="F45" s="5" t="n">
        <f aca="false">SUMIFS(Dettaglio!$J$5:$J$126,Dettaglio!$F$5:$F$126,A45)</f>
        <v>46</v>
      </c>
      <c r="G45" s="5" t="n">
        <f aca="false">D45-F45</f>
        <v>14</v>
      </c>
      <c r="H45" s="6" t="n">
        <f aca="false">IF(D45=0,"",G45/D45)</f>
        <v>0.233333333333333</v>
      </c>
      <c r="I45" s="5" t="n">
        <f aca="false">SUMIFS(Dettaglio!$M$5:$M$126,Dettaglio!$F$5:$F$126,A45)</f>
        <v>60</v>
      </c>
      <c r="J45" s="5" t="n">
        <f aca="false">D45-I45</f>
        <v>0</v>
      </c>
    </row>
    <row r="46" customFormat="false" ht="15" hidden="false" customHeight="false" outlineLevel="0" collapsed="false">
      <c r="A46" s="4" t="s">
        <v>247</v>
      </c>
      <c r="B46" s="4" t="s">
        <v>248</v>
      </c>
      <c r="C46" s="10" t="n">
        <f aca="false">COUNTIF(Commesse!$D$5:$D$85,A46)</f>
        <v>1</v>
      </c>
      <c r="D46" s="5" t="n">
        <f aca="false">SUMIFS(Dettaglio!$I$5:$I$126,Dettaglio!$F$5:$F$126,A46)</f>
        <v>60</v>
      </c>
      <c r="E46" s="6" t="n">
        <f aca="false">IF($D$49=0,"",D46/$D$49)</f>
        <v>3.48046031872083E-005</v>
      </c>
      <c r="F46" s="5" t="n">
        <f aca="false">SUMIFS(Dettaglio!$J$5:$J$126,Dettaglio!$F$5:$F$126,A46)</f>
        <v>46</v>
      </c>
      <c r="G46" s="5" t="n">
        <f aca="false">D46-F46</f>
        <v>14</v>
      </c>
      <c r="H46" s="6" t="n">
        <f aca="false">IF(D46=0,"",G46/D46)</f>
        <v>0.233333333333333</v>
      </c>
      <c r="I46" s="5" t="n">
        <f aca="false">SUMIFS(Dettaglio!$M$5:$M$126,Dettaglio!$F$5:$F$126,A46)</f>
        <v>60</v>
      </c>
      <c r="J46" s="5" t="n">
        <f aca="false">D46-I46</f>
        <v>0</v>
      </c>
    </row>
    <row r="47" customFormat="false" ht="15" hidden="false" customHeight="false" outlineLevel="0" collapsed="false">
      <c r="A47" s="4" t="s">
        <v>251</v>
      </c>
      <c r="B47" s="4" t="s">
        <v>252</v>
      </c>
      <c r="C47" s="10" t="n">
        <f aca="false">COUNTIF(Commesse!$D$5:$D$85,A47)</f>
        <v>1</v>
      </c>
      <c r="D47" s="5" t="n">
        <f aca="false">SUMIFS(Dettaglio!$I$5:$I$126,Dettaglio!$F$5:$F$126,A47)</f>
        <v>0</v>
      </c>
      <c r="E47" s="6" t="n">
        <f aca="false">IF($D$49=0,"",D47/$D$49)</f>
        <v>0</v>
      </c>
      <c r="F47" s="5" t="n">
        <f aca="false">SUMIFS(Dettaglio!$J$5:$J$126,Dettaglio!$F$5:$F$126,A47)</f>
        <v>0</v>
      </c>
      <c r="G47" s="5" t="n">
        <f aca="false">D47-F47</f>
        <v>0</v>
      </c>
      <c r="H47" s="6" t="str">
        <f aca="false">IF(D47=0,"",G47/D47)</f>
        <v/>
      </c>
      <c r="I47" s="5" t="n">
        <f aca="false">SUMIFS(Dettaglio!$M$5:$M$126,Dettaglio!$F$5:$F$126,A47)</f>
        <v>0</v>
      </c>
      <c r="J47" s="5" t="n">
        <f aca="false">D47-I47</f>
        <v>0</v>
      </c>
    </row>
    <row r="48" customFormat="false" ht="15" hidden="false" customHeight="false" outlineLevel="0" collapsed="false">
      <c r="A48" s="4" t="s">
        <v>297</v>
      </c>
      <c r="B48" s="4" t="s">
        <v>298</v>
      </c>
      <c r="C48" s="10" t="n">
        <f aca="false">COUNTIF(Commesse!$D$5:$D$85,A48)</f>
        <v>0</v>
      </c>
      <c r="D48" s="5" t="n">
        <f aca="false">SUMIFS(Dettaglio!$I$5:$I$126,Dettaglio!$F$5:$F$126,A48)</f>
        <v>0</v>
      </c>
      <c r="E48" s="6" t="n">
        <f aca="false">IF($D$49=0,"",D48/$D$49)</f>
        <v>0</v>
      </c>
      <c r="F48" s="5" t="n">
        <f aca="false">SUMIFS(Dettaglio!$J$5:$J$126,Dettaglio!$F$5:$F$126,A48)</f>
        <v>186.4</v>
      </c>
      <c r="G48" s="5" t="n">
        <f aca="false">D48-F48</f>
        <v>-186.4</v>
      </c>
      <c r="H48" s="6" t="str">
        <f aca="false">IF(D48=0,"",G48/D48)</f>
        <v/>
      </c>
      <c r="I48" s="5" t="n">
        <f aca="false">SUMIFS(Dettaglio!$M$5:$M$126,Dettaglio!$F$5:$F$126,A48)</f>
        <v>0</v>
      </c>
      <c r="J48" s="5" t="n">
        <f aca="false">D48-I48</f>
        <v>0</v>
      </c>
    </row>
    <row r="49" customFormat="false" ht="15" hidden="false" customHeight="false" outlineLevel="0" collapsed="false">
      <c r="A49" s="15" t="s">
        <v>292</v>
      </c>
      <c r="B49" s="15"/>
      <c r="C49" s="18" t="n">
        <f aca="false">SUM(C5:C48)</f>
        <v>81</v>
      </c>
      <c r="D49" s="16" t="n">
        <f aca="false">SUM(D5:D48)</f>
        <v>1723909.9</v>
      </c>
      <c r="E49" s="17" t="n">
        <f aca="false">IF(D49=0,"",D49/D49)</f>
        <v>1</v>
      </c>
      <c r="F49" s="16" t="n">
        <f aca="false">SUM(F5:F48)</f>
        <v>1341251.48</v>
      </c>
      <c r="G49" s="16" t="n">
        <f aca="false">SUM(G5:G48)</f>
        <v>382658.42</v>
      </c>
      <c r="H49" s="17" t="n">
        <f aca="false">IF(D49=0,"",G49/D49)</f>
        <v>0.221971241072402</v>
      </c>
      <c r="I49" s="16" t="n">
        <f aca="false">SUM(I5:I48)</f>
        <v>1756792.8</v>
      </c>
      <c r="J49" s="16" t="n">
        <f aca="false">SUM(J5:J48)</f>
        <v>-32882.9</v>
      </c>
    </row>
  </sheetData>
  <conditionalFormatting sqref="G5:G48">
    <cfRule type="cellIs" priority="2" operator="lessThan" aboveAverage="0" equalAverage="0" bottom="0" percent="0" rank="0" text="" dxfId="5">
      <formula>0</formula>
    </cfRule>
  </conditionalFormatting>
  <conditionalFormatting sqref="J5:J48">
    <cfRule type="cellIs" priority="3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11" min="9" style="0" width="15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30" hidden="false" customHeight="true" outlineLevel="0" collapsed="false">
      <c r="A4" s="3" t="s">
        <v>30</v>
      </c>
      <c r="B4" s="3" t="s">
        <v>301</v>
      </c>
      <c r="C4" s="3" t="s">
        <v>302</v>
      </c>
      <c r="D4" s="3" t="s">
        <v>303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11</v>
      </c>
      <c r="J4" s="3" t="s">
        <v>37</v>
      </c>
      <c r="K4" s="3" t="s">
        <v>13</v>
      </c>
      <c r="L4" s="3" t="s">
        <v>14</v>
      </c>
      <c r="M4" s="3" t="s">
        <v>15</v>
      </c>
      <c r="N4" s="3" t="s">
        <v>296</v>
      </c>
    </row>
    <row r="5" customFormat="false" ht="15" hidden="false" customHeight="false" outlineLevel="0" collapsed="false">
      <c r="A5" s="4" t="s">
        <v>17</v>
      </c>
      <c r="B5" s="4" t="s">
        <v>43</v>
      </c>
      <c r="C5" s="4" t="s">
        <v>43</v>
      </c>
      <c r="D5" s="4" t="s">
        <v>304</v>
      </c>
      <c r="E5" s="4" t="s">
        <v>44</v>
      </c>
      <c r="F5" s="4" t="s">
        <v>45</v>
      </c>
      <c r="G5" s="4" t="s">
        <v>46</v>
      </c>
      <c r="H5" s="4" t="s">
        <v>47</v>
      </c>
      <c r="I5" s="19" t="n">
        <v>22677.28</v>
      </c>
      <c r="J5" s="19" t="n">
        <v>111.25</v>
      </c>
      <c r="K5" s="5" t="n">
        <f aca="false">I5-J5</f>
        <v>22566.03</v>
      </c>
      <c r="L5" s="6" t="n">
        <f aca="false">IF(I5=0,"",K5/I5)</f>
        <v>0.995094208829278</v>
      </c>
      <c r="M5" s="19" t="n">
        <v>22677.28</v>
      </c>
      <c r="N5" s="5" t="n">
        <f aca="false">I5-M5</f>
        <v>0</v>
      </c>
    </row>
    <row r="6" customFormat="false" ht="15" hidden="false" customHeight="false" outlineLevel="0" collapsed="false">
      <c r="A6" s="4" t="s">
        <v>17</v>
      </c>
      <c r="B6" s="4" t="s">
        <v>43</v>
      </c>
      <c r="C6" s="4" t="s">
        <v>305</v>
      </c>
      <c r="D6" s="4" t="s">
        <v>306</v>
      </c>
      <c r="E6" s="4" t="s">
        <v>307</v>
      </c>
      <c r="F6" s="4" t="s">
        <v>45</v>
      </c>
      <c r="G6" s="4" t="s">
        <v>46</v>
      </c>
      <c r="H6" s="4" t="s">
        <v>47</v>
      </c>
      <c r="I6" s="19" t="n">
        <v>0</v>
      </c>
      <c r="J6" s="19" t="n">
        <v>4284.64</v>
      </c>
      <c r="K6" s="5" t="n">
        <f aca="false">I6-J6</f>
        <v>-4284.64</v>
      </c>
      <c r="L6" s="6" t="str">
        <f aca="false">IF(I6=0,"",K6/I6)</f>
        <v/>
      </c>
      <c r="M6" s="19" t="n">
        <v>0</v>
      </c>
      <c r="N6" s="5" t="n">
        <f aca="false">I6-M6</f>
        <v>0</v>
      </c>
    </row>
    <row r="7" customFormat="false" ht="15" hidden="false" customHeight="false" outlineLevel="0" collapsed="false">
      <c r="A7" s="4" t="s">
        <v>17</v>
      </c>
      <c r="B7" s="4" t="s">
        <v>43</v>
      </c>
      <c r="C7" s="4" t="s">
        <v>308</v>
      </c>
      <c r="D7" s="4" t="s">
        <v>306</v>
      </c>
      <c r="E7" s="4" t="s">
        <v>309</v>
      </c>
      <c r="F7" s="4" t="s">
        <v>45</v>
      </c>
      <c r="G7" s="4" t="s">
        <v>46</v>
      </c>
      <c r="H7" s="4" t="s">
        <v>47</v>
      </c>
      <c r="I7" s="19" t="n">
        <v>33731.17</v>
      </c>
      <c r="J7" s="19" t="n">
        <v>12019.89</v>
      </c>
      <c r="K7" s="5" t="n">
        <f aca="false">I7-J7</f>
        <v>21711.28</v>
      </c>
      <c r="L7" s="6" t="n">
        <f aca="false">IF(I7=0,"",K7/I7)</f>
        <v>0.643656297721069</v>
      </c>
      <c r="M7" s="19" t="n">
        <v>33731.17</v>
      </c>
      <c r="N7" s="5" t="n">
        <f aca="false">I7-M7</f>
        <v>0</v>
      </c>
    </row>
    <row r="8" customFormat="false" ht="15" hidden="false" customHeight="false" outlineLevel="0" collapsed="false">
      <c r="A8" s="4" t="s">
        <v>17</v>
      </c>
      <c r="B8" s="4" t="s">
        <v>49</v>
      </c>
      <c r="C8" s="4" t="s">
        <v>49</v>
      </c>
      <c r="D8" s="4" t="s">
        <v>304</v>
      </c>
      <c r="E8" s="4" t="s">
        <v>50</v>
      </c>
      <c r="F8" s="4" t="s">
        <v>45</v>
      </c>
      <c r="G8" s="4" t="s">
        <v>46</v>
      </c>
      <c r="H8" s="4" t="s">
        <v>47</v>
      </c>
      <c r="I8" s="19" t="n">
        <v>60357.84</v>
      </c>
      <c r="J8" s="19" t="n">
        <v>329.96</v>
      </c>
      <c r="K8" s="5" t="n">
        <f aca="false">I8-J8</f>
        <v>60027.88</v>
      </c>
      <c r="L8" s="6" t="n">
        <f aca="false">IF(I8=0,"",K8/I8)</f>
        <v>0.994533270242938</v>
      </c>
      <c r="M8" s="19" t="n">
        <v>60357.84</v>
      </c>
      <c r="N8" s="5" t="n">
        <f aca="false">I8-M8</f>
        <v>0</v>
      </c>
    </row>
    <row r="9" customFormat="false" ht="15" hidden="false" customHeight="false" outlineLevel="0" collapsed="false">
      <c r="A9" s="4" t="s">
        <v>17</v>
      </c>
      <c r="B9" s="4" t="s">
        <v>49</v>
      </c>
      <c r="C9" s="4" t="s">
        <v>310</v>
      </c>
      <c r="D9" s="4" t="s">
        <v>306</v>
      </c>
      <c r="E9" s="4" t="s">
        <v>311</v>
      </c>
      <c r="F9" s="4" t="s">
        <v>297</v>
      </c>
      <c r="G9" s="4" t="s">
        <v>298</v>
      </c>
      <c r="H9" s="4" t="s">
        <v>47</v>
      </c>
      <c r="I9" s="19" t="n">
        <v>0</v>
      </c>
      <c r="J9" s="19" t="n">
        <v>186.4</v>
      </c>
      <c r="K9" s="5" t="n">
        <f aca="false">I9-J9</f>
        <v>-186.4</v>
      </c>
      <c r="L9" s="6" t="str">
        <f aca="false">IF(I9=0,"",K9/I9)</f>
        <v/>
      </c>
      <c r="M9" s="19" t="n">
        <v>0</v>
      </c>
      <c r="N9" s="5" t="n">
        <f aca="false">I9-M9</f>
        <v>0</v>
      </c>
    </row>
    <row r="10" customFormat="false" ht="15" hidden="false" customHeight="false" outlineLevel="0" collapsed="false">
      <c r="A10" s="4" t="s">
        <v>17</v>
      </c>
      <c r="B10" s="4" t="s">
        <v>49</v>
      </c>
      <c r="C10" s="4" t="s">
        <v>312</v>
      </c>
      <c r="D10" s="4" t="s">
        <v>306</v>
      </c>
      <c r="E10" s="4" t="s">
        <v>313</v>
      </c>
      <c r="F10" s="4" t="s">
        <v>45</v>
      </c>
      <c r="G10" s="4" t="s">
        <v>46</v>
      </c>
      <c r="H10" s="4" t="s">
        <v>47</v>
      </c>
      <c r="I10" s="19" t="n">
        <v>0</v>
      </c>
      <c r="J10" s="19" t="n">
        <v>5393.25</v>
      </c>
      <c r="K10" s="5" t="n">
        <f aca="false">I10-J10</f>
        <v>-5393.25</v>
      </c>
      <c r="L10" s="6" t="str">
        <f aca="false">IF(I10=0,"",K10/I10)</f>
        <v/>
      </c>
      <c r="M10" s="19" t="n">
        <v>0</v>
      </c>
      <c r="N10" s="5" t="n">
        <f aca="false">I10-M10</f>
        <v>0</v>
      </c>
    </row>
    <row r="11" customFormat="false" ht="15" hidden="false" customHeight="false" outlineLevel="0" collapsed="false">
      <c r="A11" s="4" t="s">
        <v>17</v>
      </c>
      <c r="B11" s="4" t="s">
        <v>49</v>
      </c>
      <c r="C11" s="4" t="s">
        <v>314</v>
      </c>
      <c r="D11" s="4" t="s">
        <v>315</v>
      </c>
      <c r="E11" s="4" t="s">
        <v>316</v>
      </c>
      <c r="F11" s="4" t="s">
        <v>45</v>
      </c>
      <c r="G11" s="4" t="s">
        <v>46</v>
      </c>
      <c r="H11" s="4" t="s">
        <v>47</v>
      </c>
      <c r="I11" s="19" t="n">
        <v>0</v>
      </c>
      <c r="J11" s="19" t="n">
        <v>274.6</v>
      </c>
      <c r="K11" s="5" t="n">
        <f aca="false">I11-J11</f>
        <v>-274.6</v>
      </c>
      <c r="L11" s="6" t="str">
        <f aca="false">IF(I11=0,"",K11/I11)</f>
        <v/>
      </c>
      <c r="M11" s="19" t="n">
        <v>0</v>
      </c>
      <c r="N11" s="5" t="n">
        <f aca="false">I11-M11</f>
        <v>0</v>
      </c>
    </row>
    <row r="12" customFormat="false" ht="15" hidden="false" customHeight="false" outlineLevel="0" collapsed="false">
      <c r="A12" s="4" t="s">
        <v>17</v>
      </c>
      <c r="B12" s="4" t="s">
        <v>49</v>
      </c>
      <c r="C12" s="4" t="s">
        <v>317</v>
      </c>
      <c r="D12" s="4" t="s">
        <v>306</v>
      </c>
      <c r="E12" s="4" t="s">
        <v>318</v>
      </c>
      <c r="F12" s="4" t="s">
        <v>45</v>
      </c>
      <c r="G12" s="4" t="s">
        <v>46</v>
      </c>
      <c r="H12" s="4" t="s">
        <v>47</v>
      </c>
      <c r="I12" s="19" t="n">
        <v>18630.65</v>
      </c>
      <c r="J12" s="19" t="n">
        <v>37481.62</v>
      </c>
      <c r="K12" s="5" t="n">
        <f aca="false">I12-J12</f>
        <v>-18850.97</v>
      </c>
      <c r="L12" s="6" t="n">
        <f aca="false">IF(I12=0,"",K12/I12)</f>
        <v>-1.01182567435919</v>
      </c>
      <c r="M12" s="19" t="n">
        <v>18630.65</v>
      </c>
      <c r="N12" s="5" t="n">
        <f aca="false">I12-M12</f>
        <v>0</v>
      </c>
    </row>
    <row r="13" customFormat="false" ht="15" hidden="false" customHeight="false" outlineLevel="0" collapsed="false">
      <c r="A13" s="4" t="s">
        <v>17</v>
      </c>
      <c r="B13" s="4" t="s">
        <v>51</v>
      </c>
      <c r="C13" s="4" t="s">
        <v>319</v>
      </c>
      <c r="D13" s="4" t="s">
        <v>306</v>
      </c>
      <c r="E13" s="4" t="s">
        <v>320</v>
      </c>
      <c r="F13" s="4" t="s">
        <v>53</v>
      </c>
      <c r="G13" s="4" t="s">
        <v>54</v>
      </c>
      <c r="H13" s="4" t="s">
        <v>47</v>
      </c>
      <c r="I13" s="19" t="n">
        <v>0</v>
      </c>
      <c r="J13" s="19" t="n">
        <v>1225.38</v>
      </c>
      <c r="K13" s="5" t="n">
        <f aca="false">I13-J13</f>
        <v>-1225.38</v>
      </c>
      <c r="L13" s="6" t="str">
        <f aca="false">IF(I13=0,"",K13/I13)</f>
        <v/>
      </c>
      <c r="M13" s="19" t="n">
        <v>0</v>
      </c>
      <c r="N13" s="5" t="n">
        <f aca="false">I13-M13</f>
        <v>0</v>
      </c>
    </row>
    <row r="14" customFormat="false" ht="15" hidden="false" customHeight="false" outlineLevel="0" collapsed="false">
      <c r="A14" s="4" t="s">
        <v>17</v>
      </c>
      <c r="B14" s="4" t="s">
        <v>55</v>
      </c>
      <c r="C14" s="4" t="s">
        <v>55</v>
      </c>
      <c r="D14" s="4" t="s">
        <v>304</v>
      </c>
      <c r="E14" s="4" t="s">
        <v>56</v>
      </c>
      <c r="F14" s="4" t="s">
        <v>57</v>
      </c>
      <c r="G14" s="4" t="s">
        <v>58</v>
      </c>
      <c r="H14" s="4" t="s">
        <v>59</v>
      </c>
      <c r="I14" s="19" t="n">
        <v>0</v>
      </c>
      <c r="J14" s="19" t="n">
        <v>1367.26</v>
      </c>
      <c r="K14" s="5" t="n">
        <f aca="false">I14-J14</f>
        <v>-1367.26</v>
      </c>
      <c r="L14" s="6" t="str">
        <f aca="false">IF(I14=0,"",K14/I14)</f>
        <v/>
      </c>
      <c r="M14" s="19" t="n">
        <v>0</v>
      </c>
      <c r="N14" s="5" t="n">
        <f aca="false">I14-M14</f>
        <v>0</v>
      </c>
    </row>
    <row r="15" customFormat="false" ht="15" hidden="false" customHeight="false" outlineLevel="0" collapsed="false">
      <c r="A15" s="4" t="s">
        <v>17</v>
      </c>
      <c r="B15" s="4" t="s">
        <v>60</v>
      </c>
      <c r="C15" s="4" t="s">
        <v>60</v>
      </c>
      <c r="D15" s="4" t="s">
        <v>304</v>
      </c>
      <c r="E15" s="4" t="s">
        <v>61</v>
      </c>
      <c r="F15" s="4" t="s">
        <v>53</v>
      </c>
      <c r="G15" s="4" t="s">
        <v>54</v>
      </c>
      <c r="H15" s="4" t="s">
        <v>59</v>
      </c>
      <c r="I15" s="19" t="n">
        <v>0</v>
      </c>
      <c r="J15" s="19" t="n">
        <v>4580.86</v>
      </c>
      <c r="K15" s="5" t="n">
        <f aca="false">I15-J15</f>
        <v>-4580.86</v>
      </c>
      <c r="L15" s="6" t="str">
        <f aca="false">IF(I15=0,"",K15/I15)</f>
        <v/>
      </c>
      <c r="M15" s="19" t="n">
        <v>0</v>
      </c>
      <c r="N15" s="5" t="n">
        <f aca="false">I15-M15</f>
        <v>0</v>
      </c>
    </row>
    <row r="16" customFormat="false" ht="15" hidden="false" customHeight="false" outlineLevel="0" collapsed="false">
      <c r="A16" s="4" t="s">
        <v>17</v>
      </c>
      <c r="B16" s="4" t="s">
        <v>60</v>
      </c>
      <c r="C16" s="4" t="s">
        <v>321</v>
      </c>
      <c r="D16" s="4" t="s">
        <v>315</v>
      </c>
      <c r="E16" s="4" t="s">
        <v>322</v>
      </c>
      <c r="F16" s="4" t="s">
        <v>53</v>
      </c>
      <c r="G16" s="4" t="s">
        <v>54</v>
      </c>
      <c r="H16" s="4" t="s">
        <v>47</v>
      </c>
      <c r="I16" s="19" t="n">
        <v>0</v>
      </c>
      <c r="J16" s="19" t="n">
        <v>29342.6</v>
      </c>
      <c r="K16" s="5" t="n">
        <f aca="false">I16-J16</f>
        <v>-29342.6</v>
      </c>
      <c r="L16" s="6" t="str">
        <f aca="false">IF(I16=0,"",K16/I16)</f>
        <v/>
      </c>
      <c r="M16" s="19" t="n">
        <v>0</v>
      </c>
      <c r="N16" s="5" t="n">
        <f aca="false">I16-M16</f>
        <v>0</v>
      </c>
    </row>
    <row r="17" customFormat="false" ht="15" hidden="false" customHeight="false" outlineLevel="0" collapsed="false">
      <c r="A17" s="4" t="s">
        <v>17</v>
      </c>
      <c r="B17" s="4" t="s">
        <v>60</v>
      </c>
      <c r="C17" s="4" t="s">
        <v>323</v>
      </c>
      <c r="D17" s="4" t="s">
        <v>315</v>
      </c>
      <c r="E17" s="4" t="s">
        <v>324</v>
      </c>
      <c r="F17" s="4" t="s">
        <v>53</v>
      </c>
      <c r="G17" s="4" t="s">
        <v>54</v>
      </c>
      <c r="H17" s="4" t="s">
        <v>47</v>
      </c>
      <c r="I17" s="19" t="n">
        <v>0</v>
      </c>
      <c r="J17" s="19" t="n">
        <v>7235.71</v>
      </c>
      <c r="K17" s="5" t="n">
        <f aca="false">I17-J17</f>
        <v>-7235.71</v>
      </c>
      <c r="L17" s="6" t="str">
        <f aca="false">IF(I17=0,"",K17/I17)</f>
        <v/>
      </c>
      <c r="M17" s="19" t="n">
        <v>0</v>
      </c>
      <c r="N17" s="5" t="n">
        <f aca="false">I17-M17</f>
        <v>0</v>
      </c>
    </row>
    <row r="18" customFormat="false" ht="15" hidden="false" customHeight="false" outlineLevel="0" collapsed="false">
      <c r="A18" s="4" t="s">
        <v>17</v>
      </c>
      <c r="B18" s="4" t="s">
        <v>60</v>
      </c>
      <c r="C18" s="4" t="s">
        <v>325</v>
      </c>
      <c r="D18" s="4" t="s">
        <v>315</v>
      </c>
      <c r="E18" s="4" t="s">
        <v>326</v>
      </c>
      <c r="F18" s="4" t="s">
        <v>53</v>
      </c>
      <c r="G18" s="4" t="s">
        <v>54</v>
      </c>
      <c r="H18" s="4" t="s">
        <v>47</v>
      </c>
      <c r="I18" s="19" t="n">
        <v>0</v>
      </c>
      <c r="J18" s="19" t="n">
        <v>1005.52</v>
      </c>
      <c r="K18" s="5" t="n">
        <f aca="false">I18-J18</f>
        <v>-1005.52</v>
      </c>
      <c r="L18" s="6" t="str">
        <f aca="false">IF(I18=0,"",K18/I18)</f>
        <v/>
      </c>
      <c r="M18" s="19" t="n">
        <v>0</v>
      </c>
      <c r="N18" s="5" t="n">
        <f aca="false">I18-M18</f>
        <v>0</v>
      </c>
    </row>
    <row r="19" customFormat="false" ht="15" hidden="false" customHeight="false" outlineLevel="0" collapsed="false">
      <c r="A19" s="4" t="s">
        <v>17</v>
      </c>
      <c r="B19" s="4" t="s">
        <v>60</v>
      </c>
      <c r="C19" s="4" t="s">
        <v>327</v>
      </c>
      <c r="D19" s="4" t="s">
        <v>306</v>
      </c>
      <c r="E19" s="4" t="s">
        <v>328</v>
      </c>
      <c r="F19" s="4" t="s">
        <v>53</v>
      </c>
      <c r="G19" s="4" t="s">
        <v>54</v>
      </c>
      <c r="H19" s="4" t="s">
        <v>47</v>
      </c>
      <c r="I19" s="19" t="n">
        <v>0</v>
      </c>
      <c r="J19" s="19" t="n">
        <v>378.64</v>
      </c>
      <c r="K19" s="5" t="n">
        <f aca="false">I19-J19</f>
        <v>-378.64</v>
      </c>
      <c r="L19" s="6" t="str">
        <f aca="false">IF(I19=0,"",K19/I19)</f>
        <v/>
      </c>
      <c r="M19" s="19" t="n">
        <v>0</v>
      </c>
      <c r="N19" s="5" t="n">
        <f aca="false">I19-M19</f>
        <v>0</v>
      </c>
    </row>
    <row r="20" customFormat="false" ht="15" hidden="false" customHeight="false" outlineLevel="0" collapsed="false">
      <c r="A20" s="4" t="s">
        <v>17</v>
      </c>
      <c r="B20" s="4" t="s">
        <v>60</v>
      </c>
      <c r="C20" s="4" t="s">
        <v>329</v>
      </c>
      <c r="D20" s="4" t="s">
        <v>306</v>
      </c>
      <c r="E20" s="4" t="s">
        <v>330</v>
      </c>
      <c r="F20" s="4" t="s">
        <v>53</v>
      </c>
      <c r="G20" s="4" t="s">
        <v>54</v>
      </c>
      <c r="H20" s="4" t="s">
        <v>47</v>
      </c>
      <c r="I20" s="19" t="n">
        <v>29196.29</v>
      </c>
      <c r="J20" s="19" t="n">
        <v>521</v>
      </c>
      <c r="K20" s="5" t="n">
        <f aca="false">I20-J20</f>
        <v>28675.29</v>
      </c>
      <c r="L20" s="6" t="n">
        <f aca="false">IF(I20=0,"",K20/I20)</f>
        <v>0.982155266987689</v>
      </c>
      <c r="M20" s="19" t="n">
        <v>29196.29</v>
      </c>
      <c r="N20" s="5" t="n">
        <f aca="false">I20-M20</f>
        <v>0</v>
      </c>
    </row>
    <row r="21" customFormat="false" ht="15" hidden="false" customHeight="false" outlineLevel="0" collapsed="false">
      <c r="A21" s="4" t="s">
        <v>17</v>
      </c>
      <c r="B21" s="4" t="s">
        <v>60</v>
      </c>
      <c r="C21" s="4" t="s">
        <v>331</v>
      </c>
      <c r="D21" s="4" t="s">
        <v>306</v>
      </c>
      <c r="E21" s="4" t="s">
        <v>332</v>
      </c>
      <c r="F21" s="4" t="s">
        <v>53</v>
      </c>
      <c r="G21" s="4" t="s">
        <v>54</v>
      </c>
      <c r="H21" s="4" t="s">
        <v>47</v>
      </c>
      <c r="I21" s="19" t="n">
        <v>0</v>
      </c>
      <c r="J21" s="19" t="n">
        <v>0</v>
      </c>
      <c r="K21" s="5" t="n">
        <f aca="false">I21-J21</f>
        <v>0</v>
      </c>
      <c r="L21" s="6" t="str">
        <f aca="false">IF(I21=0,"",K21/I21)</f>
        <v/>
      </c>
      <c r="M21" s="19" t="n">
        <v>0</v>
      </c>
      <c r="N21" s="5" t="n">
        <f aca="false">I21-M21</f>
        <v>0</v>
      </c>
    </row>
    <row r="22" customFormat="false" ht="15" hidden="false" customHeight="false" outlineLevel="0" collapsed="false">
      <c r="A22" s="4" t="s">
        <v>17</v>
      </c>
      <c r="B22" s="4" t="s">
        <v>60</v>
      </c>
      <c r="C22" s="4" t="s">
        <v>333</v>
      </c>
      <c r="D22" s="4" t="s">
        <v>306</v>
      </c>
      <c r="E22" s="4" t="s">
        <v>334</v>
      </c>
      <c r="F22" s="4" t="s">
        <v>53</v>
      </c>
      <c r="G22" s="4" t="s">
        <v>54</v>
      </c>
      <c r="H22" s="4" t="s">
        <v>47</v>
      </c>
      <c r="I22" s="19" t="n">
        <v>15394.84</v>
      </c>
      <c r="J22" s="19" t="n">
        <v>120</v>
      </c>
      <c r="K22" s="5" t="n">
        <f aca="false">I22-J22</f>
        <v>15274.84</v>
      </c>
      <c r="L22" s="6" t="n">
        <f aca="false">IF(I22=0,"",K22/I22)</f>
        <v>0.992205180437082</v>
      </c>
      <c r="M22" s="19" t="n">
        <v>15394.84</v>
      </c>
      <c r="N22" s="5" t="n">
        <f aca="false">I22-M22</f>
        <v>0</v>
      </c>
    </row>
    <row r="23" customFormat="false" ht="15" hidden="false" customHeight="false" outlineLevel="0" collapsed="false">
      <c r="A23" s="4" t="s">
        <v>17</v>
      </c>
      <c r="B23" s="4" t="s">
        <v>60</v>
      </c>
      <c r="C23" s="4" t="s">
        <v>335</v>
      </c>
      <c r="D23" s="4" t="s">
        <v>306</v>
      </c>
      <c r="E23" s="4" t="s">
        <v>336</v>
      </c>
      <c r="F23" s="4" t="s">
        <v>53</v>
      </c>
      <c r="G23" s="4" t="s">
        <v>54</v>
      </c>
      <c r="H23" s="4" t="s">
        <v>47</v>
      </c>
      <c r="I23" s="19" t="n">
        <v>0</v>
      </c>
      <c r="J23" s="19" t="n">
        <v>450.48</v>
      </c>
      <c r="K23" s="5" t="n">
        <f aca="false">I23-J23</f>
        <v>-450.48</v>
      </c>
      <c r="L23" s="6" t="str">
        <f aca="false">IF(I23=0,"",K23/I23)</f>
        <v/>
      </c>
      <c r="M23" s="19" t="n">
        <v>0</v>
      </c>
      <c r="N23" s="5" t="n">
        <f aca="false">I23-M23</f>
        <v>0</v>
      </c>
    </row>
    <row r="24" customFormat="false" ht="15" hidden="false" customHeight="false" outlineLevel="0" collapsed="false">
      <c r="A24" s="4" t="s">
        <v>17</v>
      </c>
      <c r="B24" s="4" t="s">
        <v>60</v>
      </c>
      <c r="C24" s="4" t="s">
        <v>337</v>
      </c>
      <c r="D24" s="4" t="s">
        <v>306</v>
      </c>
      <c r="E24" s="4" t="s">
        <v>338</v>
      </c>
      <c r="F24" s="4" t="s">
        <v>53</v>
      </c>
      <c r="G24" s="4" t="s">
        <v>54</v>
      </c>
      <c r="H24" s="4" t="s">
        <v>47</v>
      </c>
      <c r="I24" s="19" t="n">
        <v>28996.73</v>
      </c>
      <c r="J24" s="19" t="n">
        <v>4226.33</v>
      </c>
      <c r="K24" s="5" t="n">
        <f aca="false">I24-J24</f>
        <v>24770.4</v>
      </c>
      <c r="L24" s="6" t="n">
        <f aca="false">IF(I24=0,"",K24/I24)</f>
        <v>0.854248047969547</v>
      </c>
      <c r="M24" s="19" t="n">
        <v>28996.73</v>
      </c>
      <c r="N24" s="5" t="n">
        <f aca="false">I24-M24</f>
        <v>0</v>
      </c>
    </row>
    <row r="25" customFormat="false" ht="15" hidden="false" customHeight="false" outlineLevel="0" collapsed="false">
      <c r="A25" s="4" t="s">
        <v>17</v>
      </c>
      <c r="B25" s="4" t="s">
        <v>60</v>
      </c>
      <c r="C25" s="4" t="s">
        <v>339</v>
      </c>
      <c r="D25" s="4" t="s">
        <v>306</v>
      </c>
      <c r="E25" s="4" t="s">
        <v>340</v>
      </c>
      <c r="F25" s="4" t="s">
        <v>53</v>
      </c>
      <c r="G25" s="4" t="s">
        <v>54</v>
      </c>
      <c r="H25" s="4" t="s">
        <v>47</v>
      </c>
      <c r="I25" s="19" t="n">
        <v>5247.28</v>
      </c>
      <c r="J25" s="19" t="n">
        <v>3732.71</v>
      </c>
      <c r="K25" s="5" t="n">
        <f aca="false">I25-J25</f>
        <v>1514.57</v>
      </c>
      <c r="L25" s="6" t="n">
        <f aca="false">IF(I25=0,"",K25/I25)</f>
        <v>0.28863906633532</v>
      </c>
      <c r="M25" s="19" t="n">
        <v>5247.28</v>
      </c>
      <c r="N25" s="5" t="n">
        <f aca="false">I25-M25</f>
        <v>0</v>
      </c>
    </row>
    <row r="26" customFormat="false" ht="15" hidden="false" customHeight="false" outlineLevel="0" collapsed="false">
      <c r="A26" s="4" t="s">
        <v>17</v>
      </c>
      <c r="B26" s="4" t="s">
        <v>60</v>
      </c>
      <c r="C26" s="4" t="s">
        <v>341</v>
      </c>
      <c r="D26" s="4" t="s">
        <v>306</v>
      </c>
      <c r="E26" s="4" t="s">
        <v>342</v>
      </c>
      <c r="F26" s="4" t="s">
        <v>53</v>
      </c>
      <c r="G26" s="4" t="s">
        <v>54</v>
      </c>
      <c r="H26" s="4" t="s">
        <v>47</v>
      </c>
      <c r="I26" s="19" t="n">
        <v>56465.04</v>
      </c>
      <c r="J26" s="19" t="n">
        <v>5135.96</v>
      </c>
      <c r="K26" s="5" t="n">
        <f aca="false">I26-J26</f>
        <v>51329.08</v>
      </c>
      <c r="L26" s="6" t="n">
        <f aca="false">IF(I26=0,"",K26/I26)</f>
        <v>0.909041771687402</v>
      </c>
      <c r="M26" s="19" t="n">
        <v>56465.04</v>
      </c>
      <c r="N26" s="5" t="n">
        <f aca="false">I26-M26</f>
        <v>0</v>
      </c>
    </row>
    <row r="27" customFormat="false" ht="15" hidden="false" customHeight="false" outlineLevel="0" collapsed="false">
      <c r="A27" s="4" t="s">
        <v>17</v>
      </c>
      <c r="B27" s="4" t="s">
        <v>60</v>
      </c>
      <c r="C27" s="4" t="s">
        <v>343</v>
      </c>
      <c r="D27" s="4" t="s">
        <v>306</v>
      </c>
      <c r="E27" s="4" t="s">
        <v>344</v>
      </c>
      <c r="F27" s="4" t="s">
        <v>53</v>
      </c>
      <c r="G27" s="4" t="s">
        <v>54</v>
      </c>
      <c r="H27" s="4" t="s">
        <v>47</v>
      </c>
      <c r="I27" s="19" t="n">
        <v>18617.7</v>
      </c>
      <c r="J27" s="19" t="n">
        <v>13787.72</v>
      </c>
      <c r="K27" s="5" t="n">
        <f aca="false">I27-J27</f>
        <v>4829.98</v>
      </c>
      <c r="L27" s="6" t="n">
        <f aca="false">IF(I27=0,"",K27/I27)</f>
        <v>0.259429467657122</v>
      </c>
      <c r="M27" s="19" t="n">
        <v>18617.7</v>
      </c>
      <c r="N27" s="5" t="n">
        <f aca="false">I27-M27</f>
        <v>0</v>
      </c>
    </row>
    <row r="28" customFormat="false" ht="15" hidden="false" customHeight="false" outlineLevel="0" collapsed="false">
      <c r="A28" s="4" t="s">
        <v>17</v>
      </c>
      <c r="B28" s="4" t="s">
        <v>62</v>
      </c>
      <c r="C28" s="4" t="s">
        <v>345</v>
      </c>
      <c r="D28" s="4" t="s">
        <v>306</v>
      </c>
      <c r="E28" s="4" t="s">
        <v>346</v>
      </c>
      <c r="F28" s="4" t="s">
        <v>64</v>
      </c>
      <c r="G28" s="4" t="s">
        <v>65</v>
      </c>
      <c r="H28" s="4" t="s">
        <v>59</v>
      </c>
      <c r="I28" s="19" t="n">
        <v>4909.32</v>
      </c>
      <c r="J28" s="19" t="n">
        <v>0</v>
      </c>
      <c r="K28" s="5" t="n">
        <f aca="false">I28-J28</f>
        <v>4909.32</v>
      </c>
      <c r="L28" s="6" t="n">
        <f aca="false">IF(I28=0,"",K28/I28)</f>
        <v>1</v>
      </c>
      <c r="M28" s="19" t="n">
        <v>4909.32</v>
      </c>
      <c r="N28" s="5" t="n">
        <f aca="false">I28-M28</f>
        <v>0</v>
      </c>
    </row>
    <row r="29" customFormat="false" ht="15" hidden="false" customHeight="false" outlineLevel="0" collapsed="false">
      <c r="A29" s="4" t="s">
        <v>17</v>
      </c>
      <c r="B29" s="4" t="s">
        <v>66</v>
      </c>
      <c r="C29" s="4" t="s">
        <v>66</v>
      </c>
      <c r="D29" s="4" t="s">
        <v>304</v>
      </c>
      <c r="E29" s="4" t="s">
        <v>67</v>
      </c>
      <c r="F29" s="4" t="s">
        <v>68</v>
      </c>
      <c r="G29" s="4" t="s">
        <v>69</v>
      </c>
      <c r="H29" s="4" t="s">
        <v>70</v>
      </c>
      <c r="I29" s="19" t="n">
        <v>20794.48</v>
      </c>
      <c r="J29" s="19" t="n">
        <v>67.82</v>
      </c>
      <c r="K29" s="5" t="n">
        <f aca="false">I29-J29</f>
        <v>20726.66</v>
      </c>
      <c r="L29" s="6" t="n">
        <f aca="false">IF(I29=0,"",K29/I29)</f>
        <v>0.99673855754027</v>
      </c>
      <c r="M29" s="19" t="n">
        <v>20794.48</v>
      </c>
      <c r="N29" s="5" t="n">
        <f aca="false">I29-M29</f>
        <v>0</v>
      </c>
    </row>
    <row r="30" customFormat="false" ht="15" hidden="false" customHeight="false" outlineLevel="0" collapsed="false">
      <c r="A30" s="4" t="s">
        <v>17</v>
      </c>
      <c r="B30" s="4" t="s">
        <v>71</v>
      </c>
      <c r="C30" s="4" t="s">
        <v>71</v>
      </c>
      <c r="D30" s="4" t="s">
        <v>304</v>
      </c>
      <c r="E30" s="4" t="s">
        <v>72</v>
      </c>
      <c r="F30" s="4" t="s">
        <v>53</v>
      </c>
      <c r="G30" s="4" t="s">
        <v>54</v>
      </c>
      <c r="H30" s="4" t="s">
        <v>47</v>
      </c>
      <c r="I30" s="19" t="n">
        <v>0</v>
      </c>
      <c r="J30" s="19" t="n">
        <v>7829.45</v>
      </c>
      <c r="K30" s="5" t="n">
        <f aca="false">I30-J30</f>
        <v>-7829.45</v>
      </c>
      <c r="L30" s="6" t="str">
        <f aca="false">IF(I30=0,"",K30/I30)</f>
        <v/>
      </c>
      <c r="M30" s="19" t="n">
        <v>0</v>
      </c>
      <c r="N30" s="5" t="n">
        <f aca="false">I30-M30</f>
        <v>0</v>
      </c>
    </row>
    <row r="31" customFormat="false" ht="15" hidden="false" customHeight="false" outlineLevel="0" collapsed="false">
      <c r="A31" s="4" t="s">
        <v>17</v>
      </c>
      <c r="B31" s="4" t="s">
        <v>71</v>
      </c>
      <c r="C31" s="4" t="s">
        <v>347</v>
      </c>
      <c r="D31" s="4" t="s">
        <v>315</v>
      </c>
      <c r="E31" s="4" t="s">
        <v>348</v>
      </c>
      <c r="F31" s="4" t="s">
        <v>53</v>
      </c>
      <c r="G31" s="4" t="s">
        <v>54</v>
      </c>
      <c r="H31" s="4" t="s">
        <v>47</v>
      </c>
      <c r="I31" s="19" t="n">
        <v>0</v>
      </c>
      <c r="J31" s="19" t="n">
        <v>10890.31</v>
      </c>
      <c r="K31" s="5" t="n">
        <f aca="false">I31-J31</f>
        <v>-10890.31</v>
      </c>
      <c r="L31" s="6" t="str">
        <f aca="false">IF(I31=0,"",K31/I31)</f>
        <v/>
      </c>
      <c r="M31" s="19" t="n">
        <v>0</v>
      </c>
      <c r="N31" s="5" t="n">
        <f aca="false">I31-M31</f>
        <v>0</v>
      </c>
    </row>
    <row r="32" customFormat="false" ht="15" hidden="false" customHeight="false" outlineLevel="0" collapsed="false">
      <c r="A32" s="4" t="s">
        <v>17</v>
      </c>
      <c r="B32" s="4" t="s">
        <v>71</v>
      </c>
      <c r="C32" s="4" t="s">
        <v>349</v>
      </c>
      <c r="D32" s="4" t="s">
        <v>315</v>
      </c>
      <c r="E32" s="4" t="s">
        <v>350</v>
      </c>
      <c r="F32" s="4" t="s">
        <v>53</v>
      </c>
      <c r="G32" s="4" t="s">
        <v>54</v>
      </c>
      <c r="H32" s="4" t="s">
        <v>47</v>
      </c>
      <c r="I32" s="19" t="n">
        <v>0</v>
      </c>
      <c r="J32" s="19" t="n">
        <v>62364.93</v>
      </c>
      <c r="K32" s="5" t="n">
        <f aca="false">I32-J32</f>
        <v>-62364.93</v>
      </c>
      <c r="L32" s="6" t="str">
        <f aca="false">IF(I32=0,"",K32/I32)</f>
        <v/>
      </c>
      <c r="M32" s="19" t="n">
        <v>0</v>
      </c>
      <c r="N32" s="5" t="n">
        <f aca="false">I32-M32</f>
        <v>0</v>
      </c>
    </row>
    <row r="33" customFormat="false" ht="15" hidden="false" customHeight="false" outlineLevel="0" collapsed="false">
      <c r="A33" s="4" t="s">
        <v>17</v>
      </c>
      <c r="B33" s="4" t="s">
        <v>71</v>
      </c>
      <c r="C33" s="4" t="s">
        <v>351</v>
      </c>
      <c r="D33" s="4" t="s">
        <v>315</v>
      </c>
      <c r="E33" s="4" t="s">
        <v>352</v>
      </c>
      <c r="F33" s="4" t="s">
        <v>53</v>
      </c>
      <c r="G33" s="4" t="s">
        <v>54</v>
      </c>
      <c r="H33" s="4" t="s">
        <v>47</v>
      </c>
      <c r="I33" s="19" t="n">
        <v>0</v>
      </c>
      <c r="J33" s="19" t="n">
        <v>240</v>
      </c>
      <c r="K33" s="5" t="n">
        <f aca="false">I33-J33</f>
        <v>-240</v>
      </c>
      <c r="L33" s="6" t="str">
        <f aca="false">IF(I33=0,"",K33/I33)</f>
        <v/>
      </c>
      <c r="M33" s="19" t="n">
        <v>0</v>
      </c>
      <c r="N33" s="5" t="n">
        <f aca="false">I33-M33</f>
        <v>0</v>
      </c>
    </row>
    <row r="34" customFormat="false" ht="15" hidden="false" customHeight="false" outlineLevel="0" collapsed="false">
      <c r="A34" s="4" t="s">
        <v>17</v>
      </c>
      <c r="B34" s="4" t="s">
        <v>71</v>
      </c>
      <c r="C34" s="4" t="s">
        <v>353</v>
      </c>
      <c r="D34" s="4" t="s">
        <v>306</v>
      </c>
      <c r="E34" s="4" t="s">
        <v>354</v>
      </c>
      <c r="F34" s="4" t="s">
        <v>53</v>
      </c>
      <c r="G34" s="4" t="s">
        <v>54</v>
      </c>
      <c r="H34" s="4" t="s">
        <v>47</v>
      </c>
      <c r="I34" s="19" t="n">
        <v>26016.3</v>
      </c>
      <c r="J34" s="19" t="n">
        <v>8561.68</v>
      </c>
      <c r="K34" s="5" t="n">
        <f aca="false">I34-J34</f>
        <v>17454.62</v>
      </c>
      <c r="L34" s="6" t="n">
        <f aca="false">IF(I34=0,"",K34/I34)</f>
        <v>0.67091092891764</v>
      </c>
      <c r="M34" s="19" t="n">
        <v>26016.3</v>
      </c>
      <c r="N34" s="5" t="n">
        <f aca="false">I34-M34</f>
        <v>0</v>
      </c>
    </row>
    <row r="35" customFormat="false" ht="15" hidden="false" customHeight="false" outlineLevel="0" collapsed="false">
      <c r="A35" s="4" t="s">
        <v>17</v>
      </c>
      <c r="B35" s="4" t="s">
        <v>71</v>
      </c>
      <c r="C35" s="4" t="s">
        <v>355</v>
      </c>
      <c r="D35" s="4" t="s">
        <v>306</v>
      </c>
      <c r="E35" s="4" t="s">
        <v>356</v>
      </c>
      <c r="F35" s="4" t="s">
        <v>53</v>
      </c>
      <c r="G35" s="4" t="s">
        <v>54</v>
      </c>
      <c r="H35" s="4" t="s">
        <v>47</v>
      </c>
      <c r="I35" s="19" t="n">
        <v>105800</v>
      </c>
      <c r="J35" s="19" t="n">
        <v>66399.2</v>
      </c>
      <c r="K35" s="5" t="n">
        <f aca="false">I35-J35</f>
        <v>39400.8</v>
      </c>
      <c r="L35" s="6" t="n">
        <f aca="false">IF(I35=0,"",K35/I35)</f>
        <v>0.37240831758034</v>
      </c>
      <c r="M35" s="19" t="n">
        <v>105800</v>
      </c>
      <c r="N35" s="5" t="n">
        <f aca="false">I35-M35</f>
        <v>0</v>
      </c>
    </row>
    <row r="36" customFormat="false" ht="15" hidden="false" customHeight="false" outlineLevel="0" collapsed="false">
      <c r="A36" s="4" t="s">
        <v>17</v>
      </c>
      <c r="B36" s="4" t="s">
        <v>71</v>
      </c>
      <c r="C36" s="4" t="s">
        <v>357</v>
      </c>
      <c r="D36" s="4" t="s">
        <v>306</v>
      </c>
      <c r="E36" s="4" t="s">
        <v>358</v>
      </c>
      <c r="F36" s="4" t="s">
        <v>53</v>
      </c>
      <c r="G36" s="4" t="s">
        <v>54</v>
      </c>
      <c r="H36" s="4" t="s">
        <v>47</v>
      </c>
      <c r="I36" s="19" t="n">
        <v>63028.61</v>
      </c>
      <c r="J36" s="19" t="n">
        <v>43155</v>
      </c>
      <c r="K36" s="5" t="n">
        <f aca="false">I36-J36</f>
        <v>19873.61</v>
      </c>
      <c r="L36" s="6" t="n">
        <f aca="false">IF(I36=0,"",K36/I36)</f>
        <v>0.315310935779799</v>
      </c>
      <c r="M36" s="19" t="n">
        <v>63028.61</v>
      </c>
      <c r="N36" s="5" t="n">
        <f aca="false">I36-M36</f>
        <v>0</v>
      </c>
    </row>
    <row r="37" customFormat="false" ht="15" hidden="false" customHeight="false" outlineLevel="0" collapsed="false">
      <c r="A37" s="4" t="s">
        <v>17</v>
      </c>
      <c r="B37" s="4" t="s">
        <v>71</v>
      </c>
      <c r="C37" s="4" t="s">
        <v>359</v>
      </c>
      <c r="D37" s="4" t="s">
        <v>306</v>
      </c>
      <c r="E37" s="4" t="s">
        <v>360</v>
      </c>
      <c r="F37" s="4" t="s">
        <v>53</v>
      </c>
      <c r="G37" s="4" t="s">
        <v>54</v>
      </c>
      <c r="H37" s="4" t="s">
        <v>47</v>
      </c>
      <c r="I37" s="19" t="n">
        <v>7354.76</v>
      </c>
      <c r="J37" s="19" t="n">
        <v>4525.55</v>
      </c>
      <c r="K37" s="5" t="n">
        <f aca="false">I37-J37</f>
        <v>2829.21</v>
      </c>
      <c r="L37" s="6" t="n">
        <f aca="false">IF(I37=0,"",K37/I37)</f>
        <v>0.384677406196803</v>
      </c>
      <c r="M37" s="19" t="n">
        <v>7354.76</v>
      </c>
      <c r="N37" s="5" t="n">
        <f aca="false">I37-M37</f>
        <v>0</v>
      </c>
    </row>
    <row r="38" customFormat="false" ht="15" hidden="false" customHeight="false" outlineLevel="0" collapsed="false">
      <c r="A38" s="4" t="s">
        <v>17</v>
      </c>
      <c r="B38" s="4" t="s">
        <v>71</v>
      </c>
      <c r="C38" s="4" t="s">
        <v>361</v>
      </c>
      <c r="D38" s="4" t="s">
        <v>306</v>
      </c>
      <c r="E38" s="4" t="s">
        <v>350</v>
      </c>
      <c r="F38" s="4" t="s">
        <v>53</v>
      </c>
      <c r="G38" s="4" t="s">
        <v>54</v>
      </c>
      <c r="H38" s="4" t="s">
        <v>47</v>
      </c>
      <c r="I38" s="19" t="n">
        <v>0</v>
      </c>
      <c r="J38" s="19" t="n">
        <v>13591.35</v>
      </c>
      <c r="K38" s="5" t="n">
        <f aca="false">I38-J38</f>
        <v>-13591.35</v>
      </c>
      <c r="L38" s="6" t="str">
        <f aca="false">IF(I38=0,"",K38/I38)</f>
        <v/>
      </c>
      <c r="M38" s="19" t="n">
        <v>0</v>
      </c>
      <c r="N38" s="5" t="n">
        <f aca="false">I38-M38</f>
        <v>0</v>
      </c>
    </row>
    <row r="39" customFormat="false" ht="15" hidden="false" customHeight="false" outlineLevel="0" collapsed="false">
      <c r="A39" s="4" t="s">
        <v>17</v>
      </c>
      <c r="B39" s="4" t="s">
        <v>71</v>
      </c>
      <c r="C39" s="4" t="s">
        <v>362</v>
      </c>
      <c r="D39" s="4" t="s">
        <v>306</v>
      </c>
      <c r="E39" s="4" t="s">
        <v>363</v>
      </c>
      <c r="F39" s="4" t="s">
        <v>53</v>
      </c>
      <c r="G39" s="4" t="s">
        <v>54</v>
      </c>
      <c r="H39" s="4" t="s">
        <v>47</v>
      </c>
      <c r="I39" s="19" t="n">
        <v>0</v>
      </c>
      <c r="J39" s="19" t="n">
        <v>101318.14</v>
      </c>
      <c r="K39" s="5" t="n">
        <f aca="false">I39-J39</f>
        <v>-101318.14</v>
      </c>
      <c r="L39" s="6" t="str">
        <f aca="false">IF(I39=0,"",K39/I39)</f>
        <v/>
      </c>
      <c r="M39" s="19" t="n">
        <v>0</v>
      </c>
      <c r="N39" s="5" t="n">
        <f aca="false">I39-M39</f>
        <v>0</v>
      </c>
    </row>
    <row r="40" customFormat="false" ht="15" hidden="false" customHeight="false" outlineLevel="0" collapsed="false">
      <c r="A40" s="4" t="s">
        <v>17</v>
      </c>
      <c r="B40" s="4" t="s">
        <v>71</v>
      </c>
      <c r="C40" s="4" t="s">
        <v>364</v>
      </c>
      <c r="D40" s="4" t="s">
        <v>306</v>
      </c>
      <c r="E40" s="4" t="s">
        <v>365</v>
      </c>
      <c r="F40" s="4" t="s">
        <v>53</v>
      </c>
      <c r="G40" s="4" t="s">
        <v>54</v>
      </c>
      <c r="H40" s="4" t="s">
        <v>47</v>
      </c>
      <c r="I40" s="19" t="n">
        <v>0</v>
      </c>
      <c r="J40" s="19" t="n">
        <v>690</v>
      </c>
      <c r="K40" s="5" t="n">
        <f aca="false">I40-J40</f>
        <v>-690</v>
      </c>
      <c r="L40" s="6" t="str">
        <f aca="false">IF(I40=0,"",K40/I40)</f>
        <v/>
      </c>
      <c r="M40" s="19" t="n">
        <v>0</v>
      </c>
      <c r="N40" s="5" t="n">
        <f aca="false">I40-M40</f>
        <v>0</v>
      </c>
    </row>
    <row r="41" customFormat="false" ht="15" hidden="false" customHeight="false" outlineLevel="0" collapsed="false">
      <c r="A41" s="4" t="s">
        <v>17</v>
      </c>
      <c r="B41" s="4" t="s">
        <v>73</v>
      </c>
      <c r="C41" s="4" t="s">
        <v>73</v>
      </c>
      <c r="D41" s="4" t="s">
        <v>304</v>
      </c>
      <c r="E41" s="4" t="s">
        <v>74</v>
      </c>
      <c r="F41" s="4" t="s">
        <v>75</v>
      </c>
      <c r="G41" s="4" t="s">
        <v>76</v>
      </c>
      <c r="H41" s="4" t="s">
        <v>59</v>
      </c>
      <c r="I41" s="19" t="n">
        <v>50900</v>
      </c>
      <c r="J41" s="19" t="n">
        <v>15308.84</v>
      </c>
      <c r="K41" s="5" t="n">
        <f aca="false">I41-J41</f>
        <v>35591.16</v>
      </c>
      <c r="L41" s="6" t="n">
        <f aca="false">IF(I41=0,"",K41/I41)</f>
        <v>0.699236935166994</v>
      </c>
      <c r="M41" s="19" t="n">
        <v>50900</v>
      </c>
      <c r="N41" s="5" t="n">
        <f aca="false">I41-M41</f>
        <v>0</v>
      </c>
    </row>
    <row r="42" customFormat="false" ht="15" hidden="false" customHeight="false" outlineLevel="0" collapsed="false">
      <c r="A42" s="4" t="s">
        <v>17</v>
      </c>
      <c r="B42" s="4" t="s">
        <v>73</v>
      </c>
      <c r="C42" s="4" t="s">
        <v>366</v>
      </c>
      <c r="D42" s="4" t="s">
        <v>315</v>
      </c>
      <c r="E42" s="4" t="s">
        <v>367</v>
      </c>
      <c r="F42" s="4" t="s">
        <v>75</v>
      </c>
      <c r="G42" s="4" t="s">
        <v>76</v>
      </c>
      <c r="H42" s="4" t="s">
        <v>47</v>
      </c>
      <c r="I42" s="19" t="n">
        <v>0</v>
      </c>
      <c r="J42" s="19" t="n">
        <v>8354.82</v>
      </c>
      <c r="K42" s="5" t="n">
        <f aca="false">I42-J42</f>
        <v>-8354.82</v>
      </c>
      <c r="L42" s="6" t="str">
        <f aca="false">IF(I42=0,"",K42/I42)</f>
        <v/>
      </c>
      <c r="M42" s="19" t="n">
        <v>0</v>
      </c>
      <c r="N42" s="5" t="n">
        <f aca="false">I42-M42</f>
        <v>0</v>
      </c>
    </row>
    <row r="43" customFormat="false" ht="15" hidden="false" customHeight="false" outlineLevel="0" collapsed="false">
      <c r="A43" s="4" t="s">
        <v>17</v>
      </c>
      <c r="B43" s="4" t="s">
        <v>77</v>
      </c>
      <c r="C43" s="4" t="s">
        <v>77</v>
      </c>
      <c r="D43" s="4" t="s">
        <v>304</v>
      </c>
      <c r="E43" s="4" t="s">
        <v>78</v>
      </c>
      <c r="F43" s="4" t="s">
        <v>79</v>
      </c>
      <c r="G43" s="4" t="s">
        <v>80</v>
      </c>
      <c r="H43" s="4" t="s">
        <v>59</v>
      </c>
      <c r="I43" s="19" t="n">
        <v>56374.08</v>
      </c>
      <c r="J43" s="19" t="n">
        <v>36141.11</v>
      </c>
      <c r="K43" s="5" t="n">
        <f aca="false">I43-J43</f>
        <v>20232.97</v>
      </c>
      <c r="L43" s="6" t="n">
        <f aca="false">IF(I43=0,"",K43/I43)</f>
        <v>0.35890554666258</v>
      </c>
      <c r="M43" s="19" t="n">
        <v>56374.08</v>
      </c>
      <c r="N43" s="5" t="n">
        <f aca="false">I43-M43</f>
        <v>0</v>
      </c>
    </row>
    <row r="44" customFormat="false" ht="15" hidden="false" customHeight="false" outlineLevel="0" collapsed="false">
      <c r="A44" s="4" t="s">
        <v>17</v>
      </c>
      <c r="B44" s="4" t="s">
        <v>81</v>
      </c>
      <c r="C44" s="4" t="s">
        <v>81</v>
      </c>
      <c r="D44" s="4" t="s">
        <v>304</v>
      </c>
      <c r="E44" s="4" t="s">
        <v>82</v>
      </c>
      <c r="F44" s="4" t="s">
        <v>83</v>
      </c>
      <c r="G44" s="4" t="s">
        <v>84</v>
      </c>
      <c r="H44" s="4" t="s">
        <v>59</v>
      </c>
      <c r="I44" s="19" t="n">
        <v>57217</v>
      </c>
      <c r="J44" s="19" t="n">
        <v>20578.35</v>
      </c>
      <c r="K44" s="5" t="n">
        <f aca="false">I44-J44</f>
        <v>36638.65</v>
      </c>
      <c r="L44" s="6" t="n">
        <f aca="false">IF(I44=0,"",K44/I44)</f>
        <v>0.640345526679134</v>
      </c>
      <c r="M44" s="19" t="n">
        <v>57217</v>
      </c>
      <c r="N44" s="5" t="n">
        <f aca="false">I44-M44</f>
        <v>0</v>
      </c>
    </row>
    <row r="45" customFormat="false" ht="15" hidden="false" customHeight="false" outlineLevel="0" collapsed="false">
      <c r="A45" s="4" t="s">
        <v>17</v>
      </c>
      <c r="B45" s="4" t="s">
        <v>85</v>
      </c>
      <c r="C45" s="4" t="s">
        <v>85</v>
      </c>
      <c r="D45" s="4" t="s">
        <v>304</v>
      </c>
      <c r="E45" s="4" t="s">
        <v>86</v>
      </c>
      <c r="F45" s="4" t="s">
        <v>87</v>
      </c>
      <c r="G45" s="4" t="s">
        <v>88</v>
      </c>
      <c r="H45" s="4" t="s">
        <v>59</v>
      </c>
      <c r="I45" s="19" t="n">
        <v>1396.2</v>
      </c>
      <c r="J45" s="19" t="n">
        <v>623.83</v>
      </c>
      <c r="K45" s="5" t="n">
        <f aca="false">I45-J45</f>
        <v>772.37</v>
      </c>
      <c r="L45" s="6" t="n">
        <f aca="false">IF(I45=0,"",K45/I45)</f>
        <v>0.553194384758631</v>
      </c>
      <c r="M45" s="19" t="n">
        <v>1396.2</v>
      </c>
      <c r="N45" s="5" t="n">
        <f aca="false">I45-M45</f>
        <v>0</v>
      </c>
    </row>
    <row r="46" customFormat="false" ht="15" hidden="false" customHeight="false" outlineLevel="0" collapsed="false">
      <c r="A46" s="4" t="s">
        <v>17</v>
      </c>
      <c r="B46" s="4" t="s">
        <v>89</v>
      </c>
      <c r="C46" s="4" t="s">
        <v>89</v>
      </c>
      <c r="D46" s="4" t="s">
        <v>304</v>
      </c>
      <c r="E46" s="4" t="s">
        <v>90</v>
      </c>
      <c r="F46" s="4" t="s">
        <v>79</v>
      </c>
      <c r="G46" s="4" t="s">
        <v>80</v>
      </c>
      <c r="H46" s="4" t="s">
        <v>59</v>
      </c>
      <c r="I46" s="19" t="n">
        <v>3850</v>
      </c>
      <c r="J46" s="19" t="n">
        <v>2247.1</v>
      </c>
      <c r="K46" s="5" t="n">
        <f aca="false">I46-J46</f>
        <v>1602.9</v>
      </c>
      <c r="L46" s="6" t="n">
        <f aca="false">IF(I46=0,"",K46/I46)</f>
        <v>0.416337662337662</v>
      </c>
      <c r="M46" s="19" t="n">
        <v>3850</v>
      </c>
      <c r="N46" s="5" t="n">
        <f aca="false">I46-M46</f>
        <v>0</v>
      </c>
    </row>
    <row r="47" customFormat="false" ht="15" hidden="false" customHeight="false" outlineLevel="0" collapsed="false">
      <c r="A47" s="4" t="s">
        <v>17</v>
      </c>
      <c r="B47" s="4" t="s">
        <v>91</v>
      </c>
      <c r="C47" s="4" t="s">
        <v>91</v>
      </c>
      <c r="D47" s="4" t="s">
        <v>304</v>
      </c>
      <c r="E47" s="4" t="s">
        <v>92</v>
      </c>
      <c r="F47" s="4" t="s">
        <v>57</v>
      </c>
      <c r="G47" s="4" t="s">
        <v>58</v>
      </c>
      <c r="H47" s="4" t="s">
        <v>47</v>
      </c>
      <c r="I47" s="19" t="n">
        <v>49510.25</v>
      </c>
      <c r="J47" s="19" t="n">
        <v>22161.3</v>
      </c>
      <c r="K47" s="5" t="n">
        <f aca="false">I47-J47</f>
        <v>27348.95</v>
      </c>
      <c r="L47" s="6" t="n">
        <f aca="false">IF(I47=0,"",K47/I47)</f>
        <v>0.552389656687252</v>
      </c>
      <c r="M47" s="19" t="n">
        <v>49510.25</v>
      </c>
      <c r="N47" s="5" t="n">
        <f aca="false">I47-M47</f>
        <v>0</v>
      </c>
    </row>
    <row r="48" customFormat="false" ht="15" hidden="false" customHeight="false" outlineLevel="0" collapsed="false">
      <c r="A48" s="4" t="s">
        <v>17</v>
      </c>
      <c r="B48" s="4" t="s">
        <v>93</v>
      </c>
      <c r="C48" s="4" t="s">
        <v>93</v>
      </c>
      <c r="D48" s="4" t="s">
        <v>304</v>
      </c>
      <c r="E48" s="4" t="s">
        <v>94</v>
      </c>
      <c r="F48" s="4" t="s">
        <v>79</v>
      </c>
      <c r="G48" s="4" t="s">
        <v>80</v>
      </c>
      <c r="H48" s="4" t="s">
        <v>59</v>
      </c>
      <c r="I48" s="19" t="n">
        <v>23983.97</v>
      </c>
      <c r="J48" s="19" t="n">
        <v>8175.6</v>
      </c>
      <c r="K48" s="5" t="n">
        <f aca="false">I48-J48</f>
        <v>15808.37</v>
      </c>
      <c r="L48" s="6" t="n">
        <f aca="false">IF(I48=0,"",K48/I48)</f>
        <v>0.659122322117648</v>
      </c>
      <c r="M48" s="19" t="n">
        <v>23983.97</v>
      </c>
      <c r="N48" s="5" t="n">
        <f aca="false">I48-M48</f>
        <v>0</v>
      </c>
    </row>
    <row r="49" customFormat="false" ht="15" hidden="false" customHeight="false" outlineLevel="0" collapsed="false">
      <c r="A49" s="4" t="s">
        <v>17</v>
      </c>
      <c r="B49" s="4" t="s">
        <v>93</v>
      </c>
      <c r="C49" s="4" t="s">
        <v>368</v>
      </c>
      <c r="D49" s="4" t="s">
        <v>315</v>
      </c>
      <c r="E49" s="4" t="s">
        <v>369</v>
      </c>
      <c r="F49" s="4" t="s">
        <v>79</v>
      </c>
      <c r="G49" s="4" t="s">
        <v>80</v>
      </c>
      <c r="H49" s="4" t="s">
        <v>47</v>
      </c>
      <c r="I49" s="19" t="n">
        <v>0</v>
      </c>
      <c r="J49" s="19" t="n">
        <v>116.04</v>
      </c>
      <c r="K49" s="5" t="n">
        <f aca="false">I49-J49</f>
        <v>-116.04</v>
      </c>
      <c r="L49" s="6" t="str">
        <f aca="false">IF(I49=0,"",K49/I49)</f>
        <v/>
      </c>
      <c r="M49" s="19" t="n">
        <v>0</v>
      </c>
      <c r="N49" s="5" t="n">
        <f aca="false">I49-M49</f>
        <v>0</v>
      </c>
    </row>
    <row r="50" customFormat="false" ht="15" hidden="false" customHeight="false" outlineLevel="0" collapsed="false">
      <c r="A50" s="4" t="s">
        <v>17</v>
      </c>
      <c r="B50" s="4" t="s">
        <v>93</v>
      </c>
      <c r="C50" s="4" t="s">
        <v>370</v>
      </c>
      <c r="D50" s="4" t="s">
        <v>315</v>
      </c>
      <c r="E50" s="4" t="s">
        <v>371</v>
      </c>
      <c r="F50" s="4" t="s">
        <v>79</v>
      </c>
      <c r="G50" s="4" t="s">
        <v>80</v>
      </c>
      <c r="H50" s="4" t="s">
        <v>47</v>
      </c>
      <c r="I50" s="19" t="n">
        <v>0</v>
      </c>
      <c r="J50" s="19" t="n">
        <v>3355.19</v>
      </c>
      <c r="K50" s="5" t="n">
        <f aca="false">I50-J50</f>
        <v>-3355.19</v>
      </c>
      <c r="L50" s="6" t="str">
        <f aca="false">IF(I50=0,"",K50/I50)</f>
        <v/>
      </c>
      <c r="M50" s="19" t="n">
        <v>0</v>
      </c>
      <c r="N50" s="5" t="n">
        <f aca="false">I50-M50</f>
        <v>0</v>
      </c>
    </row>
    <row r="51" customFormat="false" ht="15" hidden="false" customHeight="false" outlineLevel="0" collapsed="false">
      <c r="A51" s="4" t="s">
        <v>17</v>
      </c>
      <c r="B51" s="4" t="s">
        <v>95</v>
      </c>
      <c r="C51" s="4" t="s">
        <v>95</v>
      </c>
      <c r="D51" s="4" t="s">
        <v>304</v>
      </c>
      <c r="E51" s="4" t="s">
        <v>96</v>
      </c>
      <c r="F51" s="4" t="s">
        <v>97</v>
      </c>
      <c r="G51" s="4" t="s">
        <v>98</v>
      </c>
      <c r="H51" s="4" t="s">
        <v>59</v>
      </c>
      <c r="I51" s="19" t="n">
        <v>8820</v>
      </c>
      <c r="J51" s="19" t="n">
        <v>3834</v>
      </c>
      <c r="K51" s="5" t="n">
        <f aca="false">I51-J51</f>
        <v>4986</v>
      </c>
      <c r="L51" s="6" t="n">
        <f aca="false">IF(I51=0,"",K51/I51)</f>
        <v>0.56530612244898</v>
      </c>
      <c r="M51" s="19" t="n">
        <v>8820</v>
      </c>
      <c r="N51" s="5" t="n">
        <f aca="false">I51-M51</f>
        <v>0</v>
      </c>
    </row>
    <row r="52" customFormat="false" ht="15" hidden="false" customHeight="false" outlineLevel="0" collapsed="false">
      <c r="A52" s="4" t="s">
        <v>17</v>
      </c>
      <c r="B52" s="4" t="s">
        <v>99</v>
      </c>
      <c r="C52" s="4" t="s">
        <v>99</v>
      </c>
      <c r="D52" s="4" t="s">
        <v>304</v>
      </c>
      <c r="E52" s="4" t="s">
        <v>100</v>
      </c>
      <c r="F52" s="4" t="s">
        <v>57</v>
      </c>
      <c r="G52" s="4" t="s">
        <v>58</v>
      </c>
      <c r="H52" s="4" t="s">
        <v>59</v>
      </c>
      <c r="I52" s="19" t="n">
        <v>4959</v>
      </c>
      <c r="J52" s="19" t="n">
        <v>3096.11</v>
      </c>
      <c r="K52" s="5" t="n">
        <f aca="false">I52-J52</f>
        <v>1862.89</v>
      </c>
      <c r="L52" s="6" t="n">
        <f aca="false">IF(I52=0,"",K52/I52)</f>
        <v>0.37565839887074</v>
      </c>
      <c r="M52" s="19" t="n">
        <v>4959</v>
      </c>
      <c r="N52" s="5" t="n">
        <f aca="false">I52-M52</f>
        <v>0</v>
      </c>
    </row>
    <row r="53" customFormat="false" ht="15" hidden="false" customHeight="false" outlineLevel="0" collapsed="false">
      <c r="A53" s="4" t="s">
        <v>17</v>
      </c>
      <c r="B53" s="4" t="s">
        <v>101</v>
      </c>
      <c r="C53" s="4" t="s">
        <v>101</v>
      </c>
      <c r="D53" s="4" t="s">
        <v>304</v>
      </c>
      <c r="E53" s="4" t="s">
        <v>102</v>
      </c>
      <c r="F53" s="4" t="s">
        <v>68</v>
      </c>
      <c r="G53" s="4" t="s">
        <v>69</v>
      </c>
      <c r="H53" s="4" t="s">
        <v>47</v>
      </c>
      <c r="I53" s="19" t="n">
        <v>568923.01</v>
      </c>
      <c r="J53" s="19" t="n">
        <v>476873.96</v>
      </c>
      <c r="K53" s="5" t="n">
        <f aca="false">I53-J53</f>
        <v>92049.05</v>
      </c>
      <c r="L53" s="6" t="n">
        <f aca="false">IF(I53=0,"",K53/I53)</f>
        <v>0.161795266463207</v>
      </c>
      <c r="M53" s="19" t="n">
        <v>568923.01</v>
      </c>
      <c r="N53" s="5" t="n">
        <f aca="false">I53-M53</f>
        <v>0</v>
      </c>
    </row>
    <row r="54" customFormat="false" ht="15" hidden="false" customHeight="false" outlineLevel="0" collapsed="false">
      <c r="A54" s="4" t="s">
        <v>17</v>
      </c>
      <c r="B54" s="4" t="s">
        <v>101</v>
      </c>
      <c r="C54" s="4" t="s">
        <v>372</v>
      </c>
      <c r="D54" s="4" t="s">
        <v>315</v>
      </c>
      <c r="E54" s="4" t="s">
        <v>373</v>
      </c>
      <c r="F54" s="4" t="s">
        <v>68</v>
      </c>
      <c r="G54" s="4" t="s">
        <v>69</v>
      </c>
      <c r="H54" s="4" t="s">
        <v>47</v>
      </c>
      <c r="I54" s="19" t="n">
        <v>0</v>
      </c>
      <c r="J54" s="19" t="n">
        <v>56011.07</v>
      </c>
      <c r="K54" s="5" t="n">
        <f aca="false">I54-J54</f>
        <v>-56011.07</v>
      </c>
      <c r="L54" s="6" t="str">
        <f aca="false">IF(I54=0,"",K54/I54)</f>
        <v/>
      </c>
      <c r="M54" s="19" t="n">
        <v>0</v>
      </c>
      <c r="N54" s="5" t="n">
        <f aca="false">I54-M54</f>
        <v>0</v>
      </c>
    </row>
    <row r="55" customFormat="false" ht="15" hidden="false" customHeight="false" outlineLevel="0" collapsed="false">
      <c r="A55" s="4" t="s">
        <v>17</v>
      </c>
      <c r="B55" s="4" t="s">
        <v>101</v>
      </c>
      <c r="C55" s="4" t="s">
        <v>374</v>
      </c>
      <c r="D55" s="4" t="s">
        <v>315</v>
      </c>
      <c r="E55" s="4" t="s">
        <v>375</v>
      </c>
      <c r="F55" s="4" t="s">
        <v>68</v>
      </c>
      <c r="G55" s="4" t="s">
        <v>69</v>
      </c>
      <c r="H55" s="4" t="s">
        <v>47</v>
      </c>
      <c r="I55" s="19" t="n">
        <v>0</v>
      </c>
      <c r="J55" s="19" t="n">
        <v>33993.42</v>
      </c>
      <c r="K55" s="5" t="n">
        <f aca="false">I55-J55</f>
        <v>-33993.42</v>
      </c>
      <c r="L55" s="6" t="str">
        <f aca="false">IF(I55=0,"",K55/I55)</f>
        <v/>
      </c>
      <c r="M55" s="19" t="n">
        <v>0</v>
      </c>
      <c r="N55" s="5" t="n">
        <f aca="false">I55-M55</f>
        <v>0</v>
      </c>
    </row>
    <row r="56" customFormat="false" ht="15" hidden="false" customHeight="false" outlineLevel="0" collapsed="false">
      <c r="A56" s="4" t="s">
        <v>17</v>
      </c>
      <c r="B56" s="4" t="s">
        <v>101</v>
      </c>
      <c r="C56" s="4" t="s">
        <v>376</v>
      </c>
      <c r="D56" s="4" t="s">
        <v>315</v>
      </c>
      <c r="E56" s="4" t="s">
        <v>377</v>
      </c>
      <c r="F56" s="4" t="s">
        <v>68</v>
      </c>
      <c r="G56" s="4" t="s">
        <v>69</v>
      </c>
      <c r="H56" s="4" t="s">
        <v>47</v>
      </c>
      <c r="I56" s="19" t="n">
        <v>0</v>
      </c>
      <c r="J56" s="19" t="n">
        <v>2675.35</v>
      </c>
      <c r="K56" s="5" t="n">
        <f aca="false">I56-J56</f>
        <v>-2675.35</v>
      </c>
      <c r="L56" s="6" t="str">
        <f aca="false">IF(I56=0,"",K56/I56)</f>
        <v/>
      </c>
      <c r="M56" s="19" t="n">
        <v>0</v>
      </c>
      <c r="N56" s="5" t="n">
        <f aca="false">I56-M56</f>
        <v>0</v>
      </c>
    </row>
    <row r="57" customFormat="false" ht="15" hidden="false" customHeight="false" outlineLevel="0" collapsed="false">
      <c r="A57" s="4" t="s">
        <v>17</v>
      </c>
      <c r="B57" s="4" t="s">
        <v>101</v>
      </c>
      <c r="C57" s="4" t="s">
        <v>378</v>
      </c>
      <c r="D57" s="4" t="s">
        <v>315</v>
      </c>
      <c r="E57" s="4" t="s">
        <v>379</v>
      </c>
      <c r="F57" s="4" t="s">
        <v>68</v>
      </c>
      <c r="G57" s="4" t="s">
        <v>69</v>
      </c>
      <c r="H57" s="4" t="s">
        <v>47</v>
      </c>
      <c r="I57" s="19" t="n">
        <v>0</v>
      </c>
      <c r="J57" s="19" t="n">
        <v>387.76</v>
      </c>
      <c r="K57" s="5" t="n">
        <f aca="false">I57-J57</f>
        <v>-387.76</v>
      </c>
      <c r="L57" s="6" t="str">
        <f aca="false">IF(I57=0,"",K57/I57)</f>
        <v/>
      </c>
      <c r="M57" s="19" t="n">
        <v>0</v>
      </c>
      <c r="N57" s="5" t="n">
        <f aca="false">I57-M57</f>
        <v>0</v>
      </c>
    </row>
    <row r="58" customFormat="false" ht="15" hidden="false" customHeight="false" outlineLevel="0" collapsed="false">
      <c r="A58" s="4" t="s">
        <v>17</v>
      </c>
      <c r="B58" s="4" t="s">
        <v>101</v>
      </c>
      <c r="C58" s="4" t="s">
        <v>380</v>
      </c>
      <c r="D58" s="4" t="s">
        <v>315</v>
      </c>
      <c r="E58" s="4" t="s">
        <v>381</v>
      </c>
      <c r="F58" s="4" t="s">
        <v>68</v>
      </c>
      <c r="G58" s="4" t="s">
        <v>69</v>
      </c>
      <c r="H58" s="4" t="s">
        <v>47</v>
      </c>
      <c r="I58" s="19" t="n">
        <v>0</v>
      </c>
      <c r="J58" s="19" t="n">
        <v>458.63</v>
      </c>
      <c r="K58" s="5" t="n">
        <f aca="false">I58-J58</f>
        <v>-458.63</v>
      </c>
      <c r="L58" s="6" t="str">
        <f aca="false">IF(I58=0,"",K58/I58)</f>
        <v/>
      </c>
      <c r="M58" s="19" t="n">
        <v>0</v>
      </c>
      <c r="N58" s="5" t="n">
        <f aca="false">I58-M58</f>
        <v>0</v>
      </c>
    </row>
    <row r="59" customFormat="false" ht="15" hidden="false" customHeight="false" outlineLevel="0" collapsed="false">
      <c r="A59" s="4" t="s">
        <v>17</v>
      </c>
      <c r="B59" s="4" t="s">
        <v>101</v>
      </c>
      <c r="C59" s="4" t="s">
        <v>382</v>
      </c>
      <c r="D59" s="4" t="s">
        <v>315</v>
      </c>
      <c r="E59" s="4" t="s">
        <v>383</v>
      </c>
      <c r="F59" s="4" t="s">
        <v>68</v>
      </c>
      <c r="G59" s="4" t="s">
        <v>69</v>
      </c>
      <c r="H59" s="4" t="s">
        <v>47</v>
      </c>
      <c r="I59" s="19" t="n">
        <v>0</v>
      </c>
      <c r="J59" s="19" t="n">
        <v>230.59</v>
      </c>
      <c r="K59" s="5" t="n">
        <f aca="false">I59-J59</f>
        <v>-230.59</v>
      </c>
      <c r="L59" s="6" t="str">
        <f aca="false">IF(I59=0,"",K59/I59)</f>
        <v/>
      </c>
      <c r="M59" s="19" t="n">
        <v>0</v>
      </c>
      <c r="N59" s="5" t="n">
        <f aca="false">I59-M59</f>
        <v>0</v>
      </c>
    </row>
    <row r="60" customFormat="false" ht="15" hidden="false" customHeight="false" outlineLevel="0" collapsed="false">
      <c r="A60" s="4" t="s">
        <v>17</v>
      </c>
      <c r="B60" s="4" t="s">
        <v>101</v>
      </c>
      <c r="C60" s="4" t="s">
        <v>384</v>
      </c>
      <c r="D60" s="4" t="s">
        <v>306</v>
      </c>
      <c r="E60" s="4" t="s">
        <v>385</v>
      </c>
      <c r="F60" s="4" t="s">
        <v>68</v>
      </c>
      <c r="G60" s="4" t="s">
        <v>69</v>
      </c>
      <c r="H60" s="4" t="s">
        <v>47</v>
      </c>
      <c r="I60" s="19" t="n">
        <v>0</v>
      </c>
      <c r="J60" s="19" t="n">
        <v>2390.5</v>
      </c>
      <c r="K60" s="5" t="n">
        <f aca="false">I60-J60</f>
        <v>-2390.5</v>
      </c>
      <c r="L60" s="6" t="str">
        <f aca="false">IF(I60=0,"",K60/I60)</f>
        <v/>
      </c>
      <c r="M60" s="19" t="n">
        <v>0</v>
      </c>
      <c r="N60" s="5" t="n">
        <f aca="false">I60-M60</f>
        <v>0</v>
      </c>
    </row>
    <row r="61" customFormat="false" ht="15" hidden="false" customHeight="false" outlineLevel="0" collapsed="false">
      <c r="A61" s="4" t="s">
        <v>17</v>
      </c>
      <c r="B61" s="4" t="s">
        <v>103</v>
      </c>
      <c r="C61" s="4" t="s">
        <v>103</v>
      </c>
      <c r="D61" s="4" t="s">
        <v>304</v>
      </c>
      <c r="E61" s="4" t="s">
        <v>104</v>
      </c>
      <c r="F61" s="4" t="s">
        <v>79</v>
      </c>
      <c r="G61" s="4" t="s">
        <v>80</v>
      </c>
      <c r="H61" s="4" t="s">
        <v>59</v>
      </c>
      <c r="I61" s="19" t="n">
        <v>1746.77</v>
      </c>
      <c r="J61" s="19" t="n">
        <v>579.22</v>
      </c>
      <c r="K61" s="5" t="n">
        <f aca="false">I61-J61</f>
        <v>1167.55</v>
      </c>
      <c r="L61" s="6" t="n">
        <f aca="false">IF(I61=0,"",K61/I61)</f>
        <v>0.668405113437945</v>
      </c>
      <c r="M61" s="19" t="n">
        <v>1746.77</v>
      </c>
      <c r="N61" s="5" t="n">
        <f aca="false">I61-M61</f>
        <v>0</v>
      </c>
    </row>
    <row r="62" customFormat="false" ht="15" hidden="false" customHeight="false" outlineLevel="0" collapsed="false">
      <c r="A62" s="4" t="s">
        <v>17</v>
      </c>
      <c r="B62" s="4" t="s">
        <v>105</v>
      </c>
      <c r="C62" s="4" t="s">
        <v>105</v>
      </c>
      <c r="D62" s="4" t="s">
        <v>304</v>
      </c>
      <c r="E62" s="4" t="s">
        <v>106</v>
      </c>
      <c r="F62" s="4" t="s">
        <v>107</v>
      </c>
      <c r="G62" s="4" t="s">
        <v>108</v>
      </c>
      <c r="H62" s="4" t="s">
        <v>59</v>
      </c>
      <c r="I62" s="19" t="n">
        <v>2500</v>
      </c>
      <c r="J62" s="19" t="n">
        <v>1573.35</v>
      </c>
      <c r="K62" s="5" t="n">
        <f aca="false">I62-J62</f>
        <v>926.65</v>
      </c>
      <c r="L62" s="6" t="n">
        <f aca="false">IF(I62=0,"",K62/I62)</f>
        <v>0.37066</v>
      </c>
      <c r="M62" s="19" t="n">
        <v>2500</v>
      </c>
      <c r="N62" s="5" t="n">
        <f aca="false">I62-M62</f>
        <v>0</v>
      </c>
    </row>
    <row r="63" customFormat="false" ht="15" hidden="false" customHeight="false" outlineLevel="0" collapsed="false">
      <c r="A63" s="4" t="s">
        <v>17</v>
      </c>
      <c r="B63" s="4" t="s">
        <v>109</v>
      </c>
      <c r="C63" s="4" t="s">
        <v>109</v>
      </c>
      <c r="D63" s="4" t="s">
        <v>304</v>
      </c>
      <c r="E63" s="4" t="s">
        <v>110</v>
      </c>
      <c r="F63" s="4" t="s">
        <v>75</v>
      </c>
      <c r="G63" s="4" t="s">
        <v>76</v>
      </c>
      <c r="H63" s="4" t="s">
        <v>59</v>
      </c>
      <c r="I63" s="19" t="n">
        <v>103620</v>
      </c>
      <c r="J63" s="19" t="n">
        <v>60838.48</v>
      </c>
      <c r="K63" s="5" t="n">
        <f aca="false">I63-J63</f>
        <v>42781.52</v>
      </c>
      <c r="L63" s="6" t="n">
        <f aca="false">IF(I63=0,"",K63/I63)</f>
        <v>0.412869330245126</v>
      </c>
      <c r="M63" s="19" t="n">
        <v>103620</v>
      </c>
      <c r="N63" s="5" t="n">
        <f aca="false">I63-M63</f>
        <v>0</v>
      </c>
    </row>
    <row r="64" customFormat="false" ht="15" hidden="false" customHeight="false" outlineLevel="0" collapsed="false">
      <c r="A64" s="4" t="s">
        <v>17</v>
      </c>
      <c r="B64" s="4" t="s">
        <v>111</v>
      </c>
      <c r="C64" s="4" t="s">
        <v>111</v>
      </c>
      <c r="D64" s="4" t="s">
        <v>304</v>
      </c>
      <c r="E64" s="4" t="s">
        <v>112</v>
      </c>
      <c r="F64" s="4" t="s">
        <v>57</v>
      </c>
      <c r="G64" s="4" t="s">
        <v>58</v>
      </c>
      <c r="H64" s="4" t="s">
        <v>47</v>
      </c>
      <c r="I64" s="19" t="n">
        <v>23093.77</v>
      </c>
      <c r="J64" s="19" t="n">
        <v>11316.18</v>
      </c>
      <c r="K64" s="5" t="n">
        <f aca="false">I64-J64</f>
        <v>11777.59</v>
      </c>
      <c r="L64" s="6" t="n">
        <f aca="false">IF(I64=0,"",K64/I64)</f>
        <v>0.509989923689376</v>
      </c>
      <c r="M64" s="19" t="n">
        <v>23093.77</v>
      </c>
      <c r="N64" s="5" t="n">
        <f aca="false">I64-M64</f>
        <v>0</v>
      </c>
    </row>
    <row r="65" customFormat="false" ht="15" hidden="false" customHeight="false" outlineLevel="0" collapsed="false">
      <c r="A65" s="4" t="s">
        <v>17</v>
      </c>
      <c r="B65" s="4" t="s">
        <v>113</v>
      </c>
      <c r="C65" s="4" t="s">
        <v>113</v>
      </c>
      <c r="D65" s="4" t="s">
        <v>304</v>
      </c>
      <c r="E65" s="4" t="s">
        <v>114</v>
      </c>
      <c r="F65" s="4" t="s">
        <v>57</v>
      </c>
      <c r="G65" s="4" t="s">
        <v>58</v>
      </c>
      <c r="H65" s="4" t="s">
        <v>59</v>
      </c>
      <c r="I65" s="19" t="n">
        <v>9080</v>
      </c>
      <c r="J65" s="19" t="n">
        <v>4538.03</v>
      </c>
      <c r="K65" s="5" t="n">
        <f aca="false">I65-J65</f>
        <v>4541.97</v>
      </c>
      <c r="L65" s="6" t="n">
        <f aca="false">IF(I65=0,"",K65/I65)</f>
        <v>0.500216960352423</v>
      </c>
      <c r="M65" s="19" t="n">
        <v>9080</v>
      </c>
      <c r="N65" s="5" t="n">
        <f aca="false">I65-M65</f>
        <v>0</v>
      </c>
    </row>
    <row r="66" customFormat="false" ht="15" hidden="false" customHeight="false" outlineLevel="0" collapsed="false">
      <c r="A66" s="4" t="s">
        <v>17</v>
      </c>
      <c r="B66" s="4" t="s">
        <v>115</v>
      </c>
      <c r="C66" s="4" t="s">
        <v>115</v>
      </c>
      <c r="D66" s="4" t="s">
        <v>304</v>
      </c>
      <c r="E66" s="4" t="s">
        <v>116</v>
      </c>
      <c r="F66" s="4" t="s">
        <v>87</v>
      </c>
      <c r="G66" s="4" t="s">
        <v>88</v>
      </c>
      <c r="H66" s="4" t="s">
        <v>47</v>
      </c>
      <c r="I66" s="19" t="n">
        <v>1396.2</v>
      </c>
      <c r="J66" s="19" t="n">
        <v>724.68</v>
      </c>
      <c r="K66" s="5" t="n">
        <f aca="false">I66-J66</f>
        <v>671.52</v>
      </c>
      <c r="L66" s="6" t="n">
        <f aca="false">IF(I66=0,"",K66/I66)</f>
        <v>0.480962612806188</v>
      </c>
      <c r="M66" s="19" t="n">
        <v>1396.2</v>
      </c>
      <c r="N66" s="5" t="n">
        <f aca="false">I66-M66</f>
        <v>0</v>
      </c>
    </row>
    <row r="67" customFormat="false" ht="15" hidden="false" customHeight="false" outlineLevel="0" collapsed="false">
      <c r="A67" s="4" t="s">
        <v>17</v>
      </c>
      <c r="B67" s="4" t="s">
        <v>117</v>
      </c>
      <c r="C67" s="4" t="s">
        <v>117</v>
      </c>
      <c r="D67" s="4" t="s">
        <v>304</v>
      </c>
      <c r="E67" s="4" t="s">
        <v>118</v>
      </c>
      <c r="F67" s="4" t="s">
        <v>79</v>
      </c>
      <c r="G67" s="4" t="s">
        <v>80</v>
      </c>
      <c r="H67" s="4" t="s">
        <v>47</v>
      </c>
      <c r="I67" s="19" t="n">
        <v>0</v>
      </c>
      <c r="J67" s="19" t="n">
        <v>121.8</v>
      </c>
      <c r="K67" s="5" t="n">
        <f aca="false">I67-J67</f>
        <v>-121.8</v>
      </c>
      <c r="L67" s="6" t="str">
        <f aca="false">IF(I67=0,"",K67/I67)</f>
        <v/>
      </c>
      <c r="M67" s="19" t="n">
        <v>0</v>
      </c>
      <c r="N67" s="5" t="n">
        <f aca="false">I67-M67</f>
        <v>0</v>
      </c>
    </row>
    <row r="68" customFormat="false" ht="15" hidden="false" customHeight="false" outlineLevel="0" collapsed="false">
      <c r="A68" s="4" t="s">
        <v>17</v>
      </c>
      <c r="B68" s="4" t="s">
        <v>117</v>
      </c>
      <c r="C68" s="4" t="s">
        <v>386</v>
      </c>
      <c r="D68" s="4" t="s">
        <v>306</v>
      </c>
      <c r="E68" s="4" t="s">
        <v>307</v>
      </c>
      <c r="F68" s="4" t="s">
        <v>79</v>
      </c>
      <c r="G68" s="4" t="s">
        <v>80</v>
      </c>
      <c r="H68" s="4" t="s">
        <v>47</v>
      </c>
      <c r="I68" s="19" t="n">
        <v>29337.84</v>
      </c>
      <c r="J68" s="19" t="n">
        <v>5079.05</v>
      </c>
      <c r="K68" s="5" t="n">
        <f aca="false">I68-J68</f>
        <v>24258.79</v>
      </c>
      <c r="L68" s="6" t="n">
        <f aca="false">IF(I68=0,"",K68/I68)</f>
        <v>0.826877166144474</v>
      </c>
      <c r="M68" s="19" t="n">
        <v>29337.84</v>
      </c>
      <c r="N68" s="5" t="n">
        <f aca="false">I68-M68</f>
        <v>0</v>
      </c>
    </row>
    <row r="69" customFormat="false" ht="15" hidden="false" customHeight="false" outlineLevel="0" collapsed="false">
      <c r="A69" s="4" t="s">
        <v>17</v>
      </c>
      <c r="B69" s="4" t="s">
        <v>117</v>
      </c>
      <c r="C69" s="4" t="s">
        <v>387</v>
      </c>
      <c r="D69" s="4" t="s">
        <v>306</v>
      </c>
      <c r="E69" s="4" t="s">
        <v>388</v>
      </c>
      <c r="F69" s="4" t="s">
        <v>79</v>
      </c>
      <c r="G69" s="4" t="s">
        <v>80</v>
      </c>
      <c r="H69" s="4" t="s">
        <v>47</v>
      </c>
      <c r="I69" s="19" t="n">
        <v>11535.03</v>
      </c>
      <c r="J69" s="19" t="n">
        <v>8693.67</v>
      </c>
      <c r="K69" s="5" t="n">
        <f aca="false">I69-J69</f>
        <v>2841.36</v>
      </c>
      <c r="L69" s="6" t="n">
        <f aca="false">IF(I69=0,"",K69/I69)</f>
        <v>0.24632445689348</v>
      </c>
      <c r="M69" s="19" t="n">
        <v>11535.03</v>
      </c>
      <c r="N69" s="5" t="n">
        <f aca="false">I69-M69</f>
        <v>0</v>
      </c>
    </row>
    <row r="70" customFormat="false" ht="15" hidden="false" customHeight="false" outlineLevel="0" collapsed="false">
      <c r="A70" s="4" t="s">
        <v>17</v>
      </c>
      <c r="B70" s="4" t="s">
        <v>119</v>
      </c>
      <c r="C70" s="4" t="s">
        <v>119</v>
      </c>
      <c r="D70" s="4" t="s">
        <v>304</v>
      </c>
      <c r="E70" s="4" t="s">
        <v>120</v>
      </c>
      <c r="F70" s="4" t="s">
        <v>79</v>
      </c>
      <c r="G70" s="4" t="s">
        <v>80</v>
      </c>
      <c r="H70" s="4" t="s">
        <v>59</v>
      </c>
      <c r="I70" s="19" t="n">
        <v>11600</v>
      </c>
      <c r="J70" s="19" t="n">
        <v>6370.59</v>
      </c>
      <c r="K70" s="5" t="n">
        <f aca="false">I70-J70</f>
        <v>5229.41</v>
      </c>
      <c r="L70" s="6" t="n">
        <f aca="false">IF(I70=0,"",K70/I70)</f>
        <v>0.450811206896552</v>
      </c>
      <c r="M70" s="19" t="n">
        <v>11600</v>
      </c>
      <c r="N70" s="5" t="n">
        <f aca="false">I70-M70</f>
        <v>0</v>
      </c>
    </row>
    <row r="71" customFormat="false" ht="15" hidden="false" customHeight="false" outlineLevel="0" collapsed="false">
      <c r="A71" s="4" t="s">
        <v>17</v>
      </c>
      <c r="B71" s="4" t="s">
        <v>119</v>
      </c>
      <c r="C71" s="4" t="s">
        <v>389</v>
      </c>
      <c r="D71" s="4" t="s">
        <v>315</v>
      </c>
      <c r="E71" s="4" t="s">
        <v>390</v>
      </c>
      <c r="F71" s="4" t="s">
        <v>79</v>
      </c>
      <c r="G71" s="4" t="s">
        <v>80</v>
      </c>
      <c r="H71" s="4" t="s">
        <v>59</v>
      </c>
      <c r="I71" s="19" t="n">
        <v>0</v>
      </c>
      <c r="J71" s="19" t="n">
        <v>225.09</v>
      </c>
      <c r="K71" s="5" t="n">
        <f aca="false">I71-J71</f>
        <v>-225.09</v>
      </c>
      <c r="L71" s="6" t="str">
        <f aca="false">IF(I71=0,"",K71/I71)</f>
        <v/>
      </c>
      <c r="M71" s="19" t="n">
        <v>0</v>
      </c>
      <c r="N71" s="5" t="n">
        <f aca="false">I71-M71</f>
        <v>0</v>
      </c>
    </row>
    <row r="72" customFormat="false" ht="15" hidden="false" customHeight="false" outlineLevel="0" collapsed="false">
      <c r="A72" s="4" t="s">
        <v>17</v>
      </c>
      <c r="B72" s="4" t="s">
        <v>121</v>
      </c>
      <c r="C72" s="4" t="s">
        <v>121</v>
      </c>
      <c r="D72" s="4" t="s">
        <v>304</v>
      </c>
      <c r="E72" s="4" t="s">
        <v>122</v>
      </c>
      <c r="F72" s="4" t="s">
        <v>79</v>
      </c>
      <c r="G72" s="4" t="s">
        <v>80</v>
      </c>
      <c r="H72" s="4" t="s">
        <v>47</v>
      </c>
      <c r="I72" s="19" t="n">
        <v>0</v>
      </c>
      <c r="J72" s="19" t="n">
        <v>28492.69</v>
      </c>
      <c r="K72" s="5" t="n">
        <f aca="false">I72-J72</f>
        <v>-28492.69</v>
      </c>
      <c r="L72" s="6" t="str">
        <f aca="false">IF(I72=0,"",K72/I72)</f>
        <v/>
      </c>
      <c r="M72" s="19" t="n">
        <v>0</v>
      </c>
      <c r="N72" s="5" t="n">
        <f aca="false">I72-M72</f>
        <v>0</v>
      </c>
    </row>
    <row r="73" customFormat="false" ht="15" hidden="false" customHeight="false" outlineLevel="0" collapsed="false">
      <c r="A73" s="4" t="s">
        <v>17</v>
      </c>
      <c r="B73" s="4" t="s">
        <v>123</v>
      </c>
      <c r="C73" s="4" t="s">
        <v>123</v>
      </c>
      <c r="D73" s="4" t="s">
        <v>304</v>
      </c>
      <c r="E73" s="4" t="s">
        <v>124</v>
      </c>
      <c r="F73" s="4" t="s">
        <v>45</v>
      </c>
      <c r="G73" s="4" t="s">
        <v>46</v>
      </c>
      <c r="H73" s="4" t="s">
        <v>47</v>
      </c>
      <c r="I73" s="19" t="n">
        <v>36126.04</v>
      </c>
      <c r="J73" s="19" t="n">
        <v>12280.67</v>
      </c>
      <c r="K73" s="5" t="n">
        <f aca="false">I73-J73</f>
        <v>23845.37</v>
      </c>
      <c r="L73" s="6" t="n">
        <f aca="false">IF(I73=0,"",K73/I73)</f>
        <v>0.660060443934625</v>
      </c>
      <c r="M73" s="19" t="n">
        <v>36126.04</v>
      </c>
      <c r="N73" s="5" t="n">
        <f aca="false">I73-M73</f>
        <v>0</v>
      </c>
    </row>
    <row r="74" customFormat="false" ht="15" hidden="false" customHeight="false" outlineLevel="0" collapsed="false">
      <c r="A74" s="4" t="s">
        <v>17</v>
      </c>
      <c r="B74" s="4" t="s">
        <v>125</v>
      </c>
      <c r="C74" s="4" t="s">
        <v>125</v>
      </c>
      <c r="D74" s="4" t="s">
        <v>304</v>
      </c>
      <c r="E74" s="4" t="s">
        <v>126</v>
      </c>
      <c r="F74" s="4" t="s">
        <v>79</v>
      </c>
      <c r="G74" s="4" t="s">
        <v>80</v>
      </c>
      <c r="H74" s="4" t="s">
        <v>59</v>
      </c>
      <c r="I74" s="19" t="n">
        <v>3898.76</v>
      </c>
      <c r="J74" s="19" t="n">
        <v>1060.28</v>
      </c>
      <c r="K74" s="5" t="n">
        <f aca="false">I74-J74</f>
        <v>2838.48</v>
      </c>
      <c r="L74" s="6" t="n">
        <f aca="false">IF(I74=0,"",K74/I74)</f>
        <v>0.728046866183094</v>
      </c>
      <c r="M74" s="19" t="n">
        <v>3898.76</v>
      </c>
      <c r="N74" s="5" t="n">
        <f aca="false">I74-M74</f>
        <v>0</v>
      </c>
    </row>
    <row r="75" customFormat="false" ht="15" hidden="false" customHeight="false" outlineLevel="0" collapsed="false">
      <c r="A75" s="4" t="s">
        <v>17</v>
      </c>
      <c r="B75" s="4" t="s">
        <v>127</v>
      </c>
      <c r="C75" s="4" t="s">
        <v>127</v>
      </c>
      <c r="D75" s="4" t="s">
        <v>304</v>
      </c>
      <c r="E75" s="4" t="s">
        <v>128</v>
      </c>
      <c r="F75" s="4" t="s">
        <v>129</v>
      </c>
      <c r="G75" s="4" t="s">
        <v>130</v>
      </c>
      <c r="H75" s="4" t="s">
        <v>47</v>
      </c>
      <c r="I75" s="19" t="n">
        <v>4318.25</v>
      </c>
      <c r="J75" s="19" t="n">
        <v>1613.63</v>
      </c>
      <c r="K75" s="5" t="n">
        <f aca="false">I75-J75</f>
        <v>2704.62</v>
      </c>
      <c r="L75" s="6" t="n">
        <f aca="false">IF(I75=0,"",K75/I75)</f>
        <v>0.626323163318474</v>
      </c>
      <c r="M75" s="19" t="n">
        <v>4318.25</v>
      </c>
      <c r="N75" s="5" t="n">
        <f aca="false">I75-M75</f>
        <v>0</v>
      </c>
    </row>
    <row r="76" customFormat="false" ht="15" hidden="false" customHeight="false" outlineLevel="0" collapsed="false">
      <c r="A76" s="4" t="s">
        <v>17</v>
      </c>
      <c r="B76" s="4" t="s">
        <v>131</v>
      </c>
      <c r="C76" s="4" t="s">
        <v>131</v>
      </c>
      <c r="D76" s="4" t="s">
        <v>304</v>
      </c>
      <c r="E76" s="4" t="s">
        <v>132</v>
      </c>
      <c r="F76" s="4" t="s">
        <v>97</v>
      </c>
      <c r="G76" s="4" t="s">
        <v>98</v>
      </c>
      <c r="H76" s="4" t="s">
        <v>47</v>
      </c>
      <c r="I76" s="19" t="n">
        <v>10084</v>
      </c>
      <c r="J76" s="19" t="n">
        <v>5462.5</v>
      </c>
      <c r="K76" s="5" t="n">
        <f aca="false">I76-J76</f>
        <v>4621.5</v>
      </c>
      <c r="L76" s="6" t="n">
        <f aca="false">IF(I76=0,"",K76/I76)</f>
        <v>0.458300277667592</v>
      </c>
      <c r="M76" s="19" t="n">
        <v>10084</v>
      </c>
      <c r="N76" s="5" t="n">
        <f aca="false">I76-M76</f>
        <v>0</v>
      </c>
    </row>
    <row r="77" customFormat="false" ht="15" hidden="false" customHeight="false" outlineLevel="0" collapsed="false">
      <c r="A77" s="4" t="s">
        <v>17</v>
      </c>
      <c r="B77" s="4" t="s">
        <v>133</v>
      </c>
      <c r="C77" s="4" t="s">
        <v>133</v>
      </c>
      <c r="D77" s="4" t="s">
        <v>304</v>
      </c>
      <c r="E77" s="4" t="s">
        <v>134</v>
      </c>
      <c r="F77" s="4" t="s">
        <v>135</v>
      </c>
      <c r="G77" s="4" t="s">
        <v>136</v>
      </c>
      <c r="H77" s="4" t="s">
        <v>47</v>
      </c>
      <c r="I77" s="19" t="n">
        <v>0</v>
      </c>
      <c r="J77" s="19" t="n">
        <v>2566.29</v>
      </c>
      <c r="K77" s="5" t="n">
        <f aca="false">I77-J77</f>
        <v>-2566.29</v>
      </c>
      <c r="L77" s="6" t="str">
        <f aca="false">IF(I77=0,"",K77/I77)</f>
        <v/>
      </c>
      <c r="M77" s="19" t="n">
        <v>0</v>
      </c>
      <c r="N77" s="5" t="n">
        <f aca="false">I77-M77</f>
        <v>0</v>
      </c>
    </row>
    <row r="78" customFormat="false" ht="15" hidden="false" customHeight="false" outlineLevel="0" collapsed="false">
      <c r="A78" s="4" t="s">
        <v>18</v>
      </c>
      <c r="B78" s="4" t="s">
        <v>137</v>
      </c>
      <c r="C78" s="4" t="s">
        <v>137</v>
      </c>
      <c r="D78" s="4" t="s">
        <v>391</v>
      </c>
      <c r="E78" s="4" t="s">
        <v>138</v>
      </c>
      <c r="F78" s="4" t="s">
        <v>97</v>
      </c>
      <c r="G78" s="4" t="s">
        <v>98</v>
      </c>
      <c r="H78" s="4" t="s">
        <v>47</v>
      </c>
      <c r="I78" s="19" t="n">
        <v>19191.9</v>
      </c>
      <c r="J78" s="19" t="n">
        <v>0</v>
      </c>
      <c r="K78" s="5" t="n">
        <f aca="false">I78-J78</f>
        <v>19191.9</v>
      </c>
      <c r="L78" s="6" t="n">
        <f aca="false">IF(I78=0,"",K78/I78)</f>
        <v>1</v>
      </c>
      <c r="M78" s="19" t="n">
        <v>19023.04</v>
      </c>
      <c r="N78" s="5" t="n">
        <f aca="false">I78-M78</f>
        <v>168.860000000001</v>
      </c>
    </row>
    <row r="79" customFormat="false" ht="15" hidden="false" customHeight="false" outlineLevel="0" collapsed="false">
      <c r="A79" s="4" t="s">
        <v>18</v>
      </c>
      <c r="B79" s="4" t="s">
        <v>139</v>
      </c>
      <c r="C79" s="4" t="s">
        <v>139</v>
      </c>
      <c r="D79" s="4" t="s">
        <v>391</v>
      </c>
      <c r="E79" s="4" t="s">
        <v>140</v>
      </c>
      <c r="F79" s="4" t="s">
        <v>135</v>
      </c>
      <c r="G79" s="4" t="s">
        <v>136</v>
      </c>
      <c r="H79" s="4" t="s">
        <v>47</v>
      </c>
      <c r="I79" s="19" t="n">
        <v>17214.5</v>
      </c>
      <c r="J79" s="19" t="n">
        <v>0</v>
      </c>
      <c r="K79" s="5" t="n">
        <f aca="false">I79-J79</f>
        <v>17214.5</v>
      </c>
      <c r="L79" s="6" t="n">
        <f aca="false">IF(I79=0,"",K79/I79)</f>
        <v>1</v>
      </c>
      <c r="M79" s="19" t="n">
        <v>17282.8</v>
      </c>
      <c r="N79" s="5" t="n">
        <f aca="false">I79-M79</f>
        <v>-68.2999999999993</v>
      </c>
    </row>
    <row r="80" customFormat="false" ht="15" hidden="false" customHeight="false" outlineLevel="0" collapsed="false">
      <c r="A80" s="4" t="s">
        <v>18</v>
      </c>
      <c r="B80" s="4" t="s">
        <v>141</v>
      </c>
      <c r="C80" s="4" t="s">
        <v>141</v>
      </c>
      <c r="D80" s="4" t="s">
        <v>391</v>
      </c>
      <c r="E80" s="4" t="s">
        <v>142</v>
      </c>
      <c r="F80" s="4" t="s">
        <v>143</v>
      </c>
      <c r="G80" s="4" t="s">
        <v>144</v>
      </c>
      <c r="H80" s="4" t="s">
        <v>47</v>
      </c>
      <c r="I80" s="19" t="n">
        <v>1043.27</v>
      </c>
      <c r="J80" s="19" t="n">
        <v>0</v>
      </c>
      <c r="K80" s="5" t="n">
        <f aca="false">I80-J80</f>
        <v>1043.27</v>
      </c>
      <c r="L80" s="6" t="n">
        <f aca="false">IF(I80=0,"",K80/I80)</f>
        <v>1</v>
      </c>
      <c r="M80" s="19" t="n">
        <v>1043.22</v>
      </c>
      <c r="N80" s="5" t="n">
        <f aca="false">I80-M80</f>
        <v>0.0499999999999545</v>
      </c>
    </row>
    <row r="81" customFormat="false" ht="15" hidden="false" customHeight="false" outlineLevel="0" collapsed="false">
      <c r="A81" s="4" t="s">
        <v>18</v>
      </c>
      <c r="B81" s="4" t="s">
        <v>145</v>
      </c>
      <c r="C81" s="4" t="s">
        <v>145</v>
      </c>
      <c r="D81" s="4" t="s">
        <v>391</v>
      </c>
      <c r="E81" s="4" t="s">
        <v>146</v>
      </c>
      <c r="F81" s="4" t="s">
        <v>147</v>
      </c>
      <c r="G81" s="4" t="s">
        <v>148</v>
      </c>
      <c r="H81" s="4" t="s">
        <v>47</v>
      </c>
      <c r="I81" s="19" t="n">
        <v>65.67</v>
      </c>
      <c r="J81" s="19" t="n">
        <v>0</v>
      </c>
      <c r="K81" s="5" t="n">
        <f aca="false">I81-J81</f>
        <v>65.67</v>
      </c>
      <c r="L81" s="6" t="n">
        <f aca="false">IF(I81=0,"",K81/I81)</f>
        <v>1</v>
      </c>
      <c r="M81" s="19" t="n">
        <v>65.67</v>
      </c>
      <c r="N81" s="5" t="n">
        <f aca="false">I81-M81</f>
        <v>0</v>
      </c>
    </row>
    <row r="82" customFormat="false" ht="15" hidden="false" customHeight="false" outlineLevel="0" collapsed="false">
      <c r="A82" s="4" t="s">
        <v>18</v>
      </c>
      <c r="B82" s="4" t="s">
        <v>149</v>
      </c>
      <c r="C82" s="4" t="s">
        <v>149</v>
      </c>
      <c r="D82" s="4" t="s">
        <v>391</v>
      </c>
      <c r="E82" s="4" t="s">
        <v>150</v>
      </c>
      <c r="F82" s="4" t="s">
        <v>151</v>
      </c>
      <c r="G82" s="4" t="s">
        <v>152</v>
      </c>
      <c r="H82" s="4" t="s">
        <v>47</v>
      </c>
      <c r="I82" s="19" t="n">
        <v>1724.53</v>
      </c>
      <c r="J82" s="19" t="n">
        <v>0</v>
      </c>
      <c r="K82" s="5" t="n">
        <f aca="false">I82-J82</f>
        <v>1724.53</v>
      </c>
      <c r="L82" s="6" t="n">
        <f aca="false">IF(I82=0,"",K82/I82)</f>
        <v>1</v>
      </c>
      <c r="M82" s="19" t="n">
        <v>1724.53</v>
      </c>
      <c r="N82" s="5" t="n">
        <f aca="false">I82-M82</f>
        <v>0</v>
      </c>
    </row>
    <row r="83" customFormat="false" ht="15" hidden="false" customHeight="false" outlineLevel="0" collapsed="false">
      <c r="A83" s="4" t="s">
        <v>18</v>
      </c>
      <c r="B83" s="4" t="s">
        <v>153</v>
      </c>
      <c r="C83" s="4" t="s">
        <v>153</v>
      </c>
      <c r="D83" s="4" t="s">
        <v>391</v>
      </c>
      <c r="E83" s="4" t="s">
        <v>154</v>
      </c>
      <c r="F83" s="4" t="s">
        <v>129</v>
      </c>
      <c r="G83" s="4" t="s">
        <v>130</v>
      </c>
      <c r="H83" s="4" t="s">
        <v>47</v>
      </c>
      <c r="I83" s="19" t="n">
        <v>2812.99</v>
      </c>
      <c r="J83" s="19" t="n">
        <v>23</v>
      </c>
      <c r="K83" s="5" t="n">
        <f aca="false">I83-J83</f>
        <v>2789.99</v>
      </c>
      <c r="L83" s="6" t="n">
        <f aca="false">IF(I83=0,"",K83/I83)</f>
        <v>0.99182364672466</v>
      </c>
      <c r="M83" s="19" t="n">
        <v>2924.68</v>
      </c>
      <c r="N83" s="5" t="n">
        <f aca="false">I83-M83</f>
        <v>-111.69</v>
      </c>
    </row>
    <row r="84" customFormat="false" ht="15" hidden="false" customHeight="false" outlineLevel="0" collapsed="false">
      <c r="A84" s="4" t="s">
        <v>18</v>
      </c>
      <c r="B84" s="4" t="s">
        <v>155</v>
      </c>
      <c r="C84" s="4" t="s">
        <v>155</v>
      </c>
      <c r="D84" s="4" t="s">
        <v>391</v>
      </c>
      <c r="E84" s="4" t="s">
        <v>156</v>
      </c>
      <c r="F84" s="4" t="s">
        <v>157</v>
      </c>
      <c r="G84" s="4" t="s">
        <v>158</v>
      </c>
      <c r="H84" s="4" t="s">
        <v>47</v>
      </c>
      <c r="I84" s="19" t="n">
        <v>260.16</v>
      </c>
      <c r="J84" s="19" t="n">
        <v>0</v>
      </c>
      <c r="K84" s="5" t="n">
        <f aca="false">I84-J84</f>
        <v>260.16</v>
      </c>
      <c r="L84" s="6" t="n">
        <f aca="false">IF(I84=0,"",K84/I84)</f>
        <v>1</v>
      </c>
      <c r="M84" s="19" t="n">
        <v>260.15</v>
      </c>
      <c r="N84" s="5" t="n">
        <f aca="false">I84-M84</f>
        <v>0.0100000000000477</v>
      </c>
    </row>
    <row r="85" customFormat="false" ht="15" hidden="false" customHeight="false" outlineLevel="0" collapsed="false">
      <c r="A85" s="4" t="s">
        <v>18</v>
      </c>
      <c r="B85" s="4" t="s">
        <v>159</v>
      </c>
      <c r="C85" s="4" t="s">
        <v>159</v>
      </c>
      <c r="D85" s="4" t="s">
        <v>391</v>
      </c>
      <c r="E85" s="4" t="s">
        <v>160</v>
      </c>
      <c r="F85" s="4" t="s">
        <v>161</v>
      </c>
      <c r="G85" s="4" t="s">
        <v>162</v>
      </c>
      <c r="H85" s="4" t="s">
        <v>47</v>
      </c>
      <c r="I85" s="19" t="n">
        <v>101.02</v>
      </c>
      <c r="J85" s="19" t="n">
        <v>0</v>
      </c>
      <c r="K85" s="5" t="n">
        <f aca="false">I85-J85</f>
        <v>101.02</v>
      </c>
      <c r="L85" s="6" t="n">
        <f aca="false">IF(I85=0,"",K85/I85)</f>
        <v>1</v>
      </c>
      <c r="M85" s="19" t="n">
        <v>101.02</v>
      </c>
      <c r="N85" s="5" t="n">
        <f aca="false">I85-M85</f>
        <v>0</v>
      </c>
    </row>
    <row r="86" customFormat="false" ht="15" hidden="false" customHeight="false" outlineLevel="0" collapsed="false">
      <c r="A86" s="4" t="s">
        <v>18</v>
      </c>
      <c r="B86" s="4" t="s">
        <v>163</v>
      </c>
      <c r="C86" s="4" t="s">
        <v>163</v>
      </c>
      <c r="D86" s="4" t="s">
        <v>391</v>
      </c>
      <c r="E86" s="4" t="s">
        <v>164</v>
      </c>
      <c r="F86" s="4" t="s">
        <v>165</v>
      </c>
      <c r="G86" s="4" t="s">
        <v>166</v>
      </c>
      <c r="H86" s="4" t="s">
        <v>47</v>
      </c>
      <c r="I86" s="19" t="n">
        <v>2493.41</v>
      </c>
      <c r="J86" s="19" t="n">
        <v>0</v>
      </c>
      <c r="K86" s="5" t="n">
        <f aca="false">I86-J86</f>
        <v>2493.41</v>
      </c>
      <c r="L86" s="6" t="n">
        <f aca="false">IF(I86=0,"",K86/I86)</f>
        <v>1</v>
      </c>
      <c r="M86" s="19" t="n">
        <v>2493.37</v>
      </c>
      <c r="N86" s="5" t="n">
        <f aca="false">I86-M86</f>
        <v>0.0399999999999636</v>
      </c>
    </row>
    <row r="87" customFormat="false" ht="15" hidden="false" customHeight="false" outlineLevel="0" collapsed="false">
      <c r="A87" s="4" t="s">
        <v>18</v>
      </c>
      <c r="B87" s="4" t="s">
        <v>167</v>
      </c>
      <c r="C87" s="4" t="s">
        <v>167</v>
      </c>
      <c r="D87" s="4" t="s">
        <v>391</v>
      </c>
      <c r="E87" s="4" t="s">
        <v>168</v>
      </c>
      <c r="F87" s="4" t="s">
        <v>97</v>
      </c>
      <c r="G87" s="4" t="s">
        <v>98</v>
      </c>
      <c r="H87" s="4" t="s">
        <v>47</v>
      </c>
      <c r="I87" s="19" t="n">
        <v>1725.94</v>
      </c>
      <c r="J87" s="19" t="n">
        <v>913</v>
      </c>
      <c r="K87" s="5" t="n">
        <f aca="false">I87-J87</f>
        <v>812.94</v>
      </c>
      <c r="L87" s="6" t="n">
        <f aca="false">IF(I87=0,"",K87/I87)</f>
        <v>0.471012897319721</v>
      </c>
      <c r="M87" s="19" t="n">
        <v>1725.93</v>
      </c>
      <c r="N87" s="5" t="n">
        <f aca="false">I87-M87</f>
        <v>0.00999999999999091</v>
      </c>
    </row>
    <row r="88" customFormat="false" ht="15" hidden="false" customHeight="false" outlineLevel="0" collapsed="false">
      <c r="A88" s="4" t="s">
        <v>18</v>
      </c>
      <c r="B88" s="4" t="s">
        <v>169</v>
      </c>
      <c r="C88" s="4" t="s">
        <v>169</v>
      </c>
      <c r="D88" s="4" t="s">
        <v>391</v>
      </c>
      <c r="E88" s="4" t="s">
        <v>170</v>
      </c>
      <c r="F88" s="4" t="s">
        <v>171</v>
      </c>
      <c r="G88" s="4" t="s">
        <v>172</v>
      </c>
      <c r="H88" s="4" t="s">
        <v>47</v>
      </c>
      <c r="I88" s="19" t="n">
        <v>431.92</v>
      </c>
      <c r="J88" s="19" t="n">
        <v>199.5</v>
      </c>
      <c r="K88" s="5" t="n">
        <f aca="false">I88-J88</f>
        <v>232.42</v>
      </c>
      <c r="L88" s="6" t="n">
        <f aca="false">IF(I88=0,"",K88/I88)</f>
        <v>0.538108909057233</v>
      </c>
      <c r="M88" s="19" t="n">
        <v>431.91</v>
      </c>
      <c r="N88" s="5" t="n">
        <f aca="false">I88-M88</f>
        <v>0.00999999999999091</v>
      </c>
    </row>
    <row r="89" customFormat="false" ht="15" hidden="false" customHeight="false" outlineLevel="0" collapsed="false">
      <c r="A89" s="4" t="s">
        <v>18</v>
      </c>
      <c r="B89" s="4" t="s">
        <v>173</v>
      </c>
      <c r="C89" s="4" t="s">
        <v>173</v>
      </c>
      <c r="D89" s="4" t="s">
        <v>391</v>
      </c>
      <c r="E89" s="4" t="s">
        <v>174</v>
      </c>
      <c r="F89" s="4" t="s">
        <v>175</v>
      </c>
      <c r="G89" s="4" t="s">
        <v>176</v>
      </c>
      <c r="H89" s="4" t="s">
        <v>47</v>
      </c>
      <c r="I89" s="19" t="n">
        <v>6202.97</v>
      </c>
      <c r="J89" s="19" t="n">
        <v>4118</v>
      </c>
      <c r="K89" s="5" t="n">
        <f aca="false">I89-J89</f>
        <v>2084.97</v>
      </c>
      <c r="L89" s="6" t="n">
        <f aca="false">IF(I89=0,"",K89/I89)</f>
        <v>0.336124469407397</v>
      </c>
      <c r="M89" s="19" t="n">
        <v>5968.55</v>
      </c>
      <c r="N89" s="5" t="n">
        <f aca="false">I89-M89</f>
        <v>234.42</v>
      </c>
    </row>
    <row r="90" customFormat="false" ht="15" hidden="false" customHeight="false" outlineLevel="0" collapsed="false">
      <c r="A90" s="4" t="s">
        <v>18</v>
      </c>
      <c r="B90" s="4" t="s">
        <v>177</v>
      </c>
      <c r="C90" s="4" t="s">
        <v>177</v>
      </c>
      <c r="D90" s="4" t="s">
        <v>391</v>
      </c>
      <c r="E90" s="4" t="s">
        <v>178</v>
      </c>
      <c r="F90" s="4" t="s">
        <v>151</v>
      </c>
      <c r="G90" s="4" t="s">
        <v>152</v>
      </c>
      <c r="H90" s="4" t="s">
        <v>47</v>
      </c>
      <c r="I90" s="19" t="n">
        <v>2081.14</v>
      </c>
      <c r="J90" s="19" t="n">
        <v>997</v>
      </c>
      <c r="K90" s="5" t="n">
        <f aca="false">I90-J90</f>
        <v>1084.14</v>
      </c>
      <c r="L90" s="6" t="n">
        <f aca="false">IF(I90=0,"",K90/I90)</f>
        <v>0.52093564104289</v>
      </c>
      <c r="M90" s="19" t="n">
        <v>2081.14</v>
      </c>
      <c r="N90" s="5" t="n">
        <f aca="false">I90-M90</f>
        <v>0</v>
      </c>
    </row>
    <row r="91" customFormat="false" ht="15" hidden="false" customHeight="false" outlineLevel="0" collapsed="false">
      <c r="A91" s="4" t="s">
        <v>18</v>
      </c>
      <c r="B91" s="4" t="s">
        <v>179</v>
      </c>
      <c r="C91" s="4" t="s">
        <v>179</v>
      </c>
      <c r="D91" s="4" t="s">
        <v>391</v>
      </c>
      <c r="E91" s="4" t="s">
        <v>180</v>
      </c>
      <c r="F91" s="4" t="s">
        <v>181</v>
      </c>
      <c r="G91" s="4" t="s">
        <v>182</v>
      </c>
      <c r="H91" s="4" t="s">
        <v>47</v>
      </c>
      <c r="I91" s="19" t="n">
        <v>2158.8</v>
      </c>
      <c r="J91" s="19" t="n">
        <v>387</v>
      </c>
      <c r="K91" s="5" t="n">
        <f aca="false">I91-J91</f>
        <v>1771.8</v>
      </c>
      <c r="L91" s="6" t="n">
        <f aca="false">IF(I91=0,"",K91/I91)</f>
        <v>0.820733740967204</v>
      </c>
      <c r="M91" s="19" t="n">
        <v>2262</v>
      </c>
      <c r="N91" s="5" t="n">
        <f aca="false">I91-M91</f>
        <v>-103.2</v>
      </c>
    </row>
    <row r="92" customFormat="false" ht="15" hidden="false" customHeight="false" outlineLevel="0" collapsed="false">
      <c r="A92" s="4" t="s">
        <v>18</v>
      </c>
      <c r="B92" s="4" t="s">
        <v>183</v>
      </c>
      <c r="C92" s="4" t="s">
        <v>183</v>
      </c>
      <c r="D92" s="4" t="s">
        <v>391</v>
      </c>
      <c r="E92" s="4" t="s">
        <v>184</v>
      </c>
      <c r="F92" s="4" t="s">
        <v>97</v>
      </c>
      <c r="G92" s="4" t="s">
        <v>98</v>
      </c>
      <c r="H92" s="4" t="s">
        <v>47</v>
      </c>
      <c r="I92" s="19" t="n">
        <v>12520.54</v>
      </c>
      <c r="J92" s="19" t="n">
        <v>6510.5</v>
      </c>
      <c r="K92" s="5" t="n">
        <f aca="false">I92-J92</f>
        <v>6010.04</v>
      </c>
      <c r="L92" s="6" t="n">
        <f aca="false">IF(I92=0,"",K92/I92)</f>
        <v>0.480014440271746</v>
      </c>
      <c r="M92" s="19" t="n">
        <v>12520.56</v>
      </c>
      <c r="N92" s="5" t="n">
        <f aca="false">I92-M92</f>
        <v>-0.0199999999986176</v>
      </c>
    </row>
    <row r="93" customFormat="false" ht="15" hidden="false" customHeight="false" outlineLevel="0" collapsed="false">
      <c r="A93" s="4" t="s">
        <v>18</v>
      </c>
      <c r="B93" s="4" t="s">
        <v>185</v>
      </c>
      <c r="C93" s="4" t="s">
        <v>185</v>
      </c>
      <c r="D93" s="4" t="s">
        <v>391</v>
      </c>
      <c r="E93" s="4" t="s">
        <v>184</v>
      </c>
      <c r="F93" s="4" t="s">
        <v>143</v>
      </c>
      <c r="G93" s="4" t="s">
        <v>144</v>
      </c>
      <c r="H93" s="4" t="s">
        <v>47</v>
      </c>
      <c r="I93" s="19" t="n">
        <v>1563.95</v>
      </c>
      <c r="J93" s="19" t="n">
        <v>804.5</v>
      </c>
      <c r="K93" s="5" t="n">
        <f aca="false">I93-J93</f>
        <v>759.45</v>
      </c>
      <c r="L93" s="6" t="n">
        <f aca="false">IF(I93=0,"",K93/I93)</f>
        <v>0.485597365644682</v>
      </c>
      <c r="M93" s="19" t="n">
        <v>1563.93</v>
      </c>
      <c r="N93" s="5" t="n">
        <f aca="false">I93-M93</f>
        <v>0.0199999999999818</v>
      </c>
    </row>
    <row r="94" customFormat="false" ht="15" hidden="false" customHeight="false" outlineLevel="0" collapsed="false">
      <c r="A94" s="4" t="s">
        <v>18</v>
      </c>
      <c r="B94" s="4" t="s">
        <v>186</v>
      </c>
      <c r="C94" s="4" t="s">
        <v>186</v>
      </c>
      <c r="D94" s="4" t="s">
        <v>391</v>
      </c>
      <c r="E94" s="4" t="s">
        <v>187</v>
      </c>
      <c r="F94" s="4" t="s">
        <v>129</v>
      </c>
      <c r="G94" s="4" t="s">
        <v>130</v>
      </c>
      <c r="H94" s="4" t="s">
        <v>47</v>
      </c>
      <c r="I94" s="19" t="n">
        <v>216.68</v>
      </c>
      <c r="J94" s="19" t="n">
        <v>0</v>
      </c>
      <c r="K94" s="5" t="n">
        <f aca="false">I94-J94</f>
        <v>216.68</v>
      </c>
      <c r="L94" s="6" t="n">
        <f aca="false">IF(I94=0,"",K94/I94)</f>
        <v>1</v>
      </c>
      <c r="M94" s="19" t="n">
        <v>17955.88</v>
      </c>
      <c r="N94" s="5" t="n">
        <f aca="false">I94-M94</f>
        <v>-17739.2</v>
      </c>
    </row>
    <row r="95" customFormat="false" ht="15" hidden="false" customHeight="false" outlineLevel="0" collapsed="false">
      <c r="A95" s="4" t="s">
        <v>18</v>
      </c>
      <c r="B95" s="4" t="s">
        <v>188</v>
      </c>
      <c r="C95" s="4" t="s">
        <v>188</v>
      </c>
      <c r="D95" s="4" t="s">
        <v>391</v>
      </c>
      <c r="E95" s="4" t="s">
        <v>189</v>
      </c>
      <c r="F95" s="4" t="s">
        <v>190</v>
      </c>
      <c r="G95" s="4" t="s">
        <v>191</v>
      </c>
      <c r="H95" s="4" t="s">
        <v>47</v>
      </c>
      <c r="I95" s="19" t="n">
        <v>181</v>
      </c>
      <c r="J95" s="19" t="n">
        <v>66</v>
      </c>
      <c r="K95" s="5" t="n">
        <f aca="false">I95-J95</f>
        <v>115</v>
      </c>
      <c r="L95" s="6" t="n">
        <f aca="false">IF(I95=0,"",K95/I95)</f>
        <v>0.6353591160221</v>
      </c>
      <c r="M95" s="19" t="n">
        <v>98</v>
      </c>
      <c r="N95" s="5" t="n">
        <f aca="false">I95-M95</f>
        <v>83</v>
      </c>
    </row>
    <row r="96" customFormat="false" ht="15" hidden="false" customHeight="false" outlineLevel="0" collapsed="false">
      <c r="A96" s="4" t="s">
        <v>18</v>
      </c>
      <c r="B96" s="4" t="s">
        <v>192</v>
      </c>
      <c r="C96" s="4" t="s">
        <v>192</v>
      </c>
      <c r="D96" s="4" t="s">
        <v>391</v>
      </c>
      <c r="E96" s="4" t="s">
        <v>189</v>
      </c>
      <c r="F96" s="4" t="s">
        <v>57</v>
      </c>
      <c r="G96" s="4" t="s">
        <v>58</v>
      </c>
      <c r="H96" s="4" t="s">
        <v>47</v>
      </c>
      <c r="I96" s="19" t="n">
        <v>3959.96</v>
      </c>
      <c r="J96" s="19" t="n">
        <v>1883</v>
      </c>
      <c r="K96" s="5" t="n">
        <f aca="false">I96-J96</f>
        <v>2076.96</v>
      </c>
      <c r="L96" s="6" t="n">
        <f aca="false">IF(I96=0,"",K96/I96)</f>
        <v>0.524490146365115</v>
      </c>
      <c r="M96" s="19" t="n">
        <v>3692.93</v>
      </c>
      <c r="N96" s="5" t="n">
        <f aca="false">I96-M96</f>
        <v>267.03</v>
      </c>
    </row>
    <row r="97" customFormat="false" ht="15" hidden="false" customHeight="false" outlineLevel="0" collapsed="false">
      <c r="A97" s="4" t="s">
        <v>18</v>
      </c>
      <c r="B97" s="4" t="s">
        <v>193</v>
      </c>
      <c r="C97" s="4" t="s">
        <v>193</v>
      </c>
      <c r="D97" s="4" t="s">
        <v>391</v>
      </c>
      <c r="E97" s="4" t="s">
        <v>194</v>
      </c>
      <c r="F97" s="4" t="s">
        <v>165</v>
      </c>
      <c r="G97" s="4" t="s">
        <v>166</v>
      </c>
      <c r="H97" s="4" t="s">
        <v>47</v>
      </c>
      <c r="I97" s="19" t="n">
        <v>194.69</v>
      </c>
      <c r="J97" s="19" t="n">
        <v>34.5</v>
      </c>
      <c r="K97" s="5" t="n">
        <f aca="false">I97-J97</f>
        <v>160.19</v>
      </c>
      <c r="L97" s="6" t="n">
        <f aca="false">IF(I97=0,"",K97/I97)</f>
        <v>0.822795212902563</v>
      </c>
      <c r="M97" s="19" t="n">
        <v>194.68</v>
      </c>
      <c r="N97" s="5" t="n">
        <f aca="false">I97-M97</f>
        <v>0.00999999999999091</v>
      </c>
    </row>
    <row r="98" customFormat="false" ht="15" hidden="false" customHeight="false" outlineLevel="0" collapsed="false">
      <c r="A98" s="4" t="s">
        <v>18</v>
      </c>
      <c r="B98" s="4" t="s">
        <v>195</v>
      </c>
      <c r="C98" s="4" t="s">
        <v>195</v>
      </c>
      <c r="D98" s="4" t="s">
        <v>391</v>
      </c>
      <c r="E98" s="4" t="s">
        <v>196</v>
      </c>
      <c r="F98" s="4" t="s">
        <v>197</v>
      </c>
      <c r="G98" s="4" t="s">
        <v>198</v>
      </c>
      <c r="H98" s="4" t="s">
        <v>47</v>
      </c>
      <c r="I98" s="19" t="n">
        <v>148.4</v>
      </c>
      <c r="J98" s="19" t="n">
        <v>92</v>
      </c>
      <c r="K98" s="5" t="n">
        <f aca="false">I98-J98</f>
        <v>56.4</v>
      </c>
      <c r="L98" s="6" t="n">
        <f aca="false">IF(I98=0,"",K98/I98)</f>
        <v>0.380053908355795</v>
      </c>
      <c r="M98" s="19" t="n">
        <v>148.4</v>
      </c>
      <c r="N98" s="5" t="n">
        <f aca="false">I98-M98</f>
        <v>0</v>
      </c>
    </row>
    <row r="99" customFormat="false" ht="15" hidden="false" customHeight="false" outlineLevel="0" collapsed="false">
      <c r="A99" s="4" t="s">
        <v>18</v>
      </c>
      <c r="B99" s="4" t="s">
        <v>199</v>
      </c>
      <c r="C99" s="4" t="s">
        <v>199</v>
      </c>
      <c r="D99" s="4" t="s">
        <v>391</v>
      </c>
      <c r="E99" s="4" t="s">
        <v>200</v>
      </c>
      <c r="F99" s="4" t="s">
        <v>201</v>
      </c>
      <c r="G99" s="4" t="s">
        <v>202</v>
      </c>
      <c r="H99" s="4" t="s">
        <v>47</v>
      </c>
      <c r="I99" s="19" t="n">
        <v>315</v>
      </c>
      <c r="J99" s="19" t="n">
        <v>230</v>
      </c>
      <c r="K99" s="5" t="n">
        <f aca="false">I99-J99</f>
        <v>85</v>
      </c>
      <c r="L99" s="6" t="n">
        <f aca="false">IF(I99=0,"",K99/I99)</f>
        <v>0.26984126984127</v>
      </c>
      <c r="M99" s="19" t="n">
        <v>315</v>
      </c>
      <c r="N99" s="5" t="n">
        <f aca="false">I99-M99</f>
        <v>0</v>
      </c>
    </row>
    <row r="100" customFormat="false" ht="15" hidden="false" customHeight="false" outlineLevel="0" collapsed="false">
      <c r="A100" s="4" t="s">
        <v>18</v>
      </c>
      <c r="B100" s="4" t="s">
        <v>203</v>
      </c>
      <c r="C100" s="4" t="s">
        <v>203</v>
      </c>
      <c r="D100" s="4" t="s">
        <v>391</v>
      </c>
      <c r="E100" s="4" t="s">
        <v>204</v>
      </c>
      <c r="F100" s="4" t="s">
        <v>175</v>
      </c>
      <c r="G100" s="4" t="s">
        <v>176</v>
      </c>
      <c r="H100" s="4" t="s">
        <v>47</v>
      </c>
      <c r="I100" s="19" t="n">
        <v>14110.98</v>
      </c>
      <c r="J100" s="19" t="n">
        <v>6537</v>
      </c>
      <c r="K100" s="5" t="n">
        <f aca="false">I100-J100</f>
        <v>7573.98</v>
      </c>
      <c r="L100" s="6" t="n">
        <f aca="false">IF(I100=0,"",K100/I100)</f>
        <v>0.536743727225182</v>
      </c>
      <c r="M100" s="19" t="n">
        <v>14114.6</v>
      </c>
      <c r="N100" s="5" t="n">
        <f aca="false">I100-M100</f>
        <v>-3.6200000000008</v>
      </c>
    </row>
    <row r="101" customFormat="false" ht="15" hidden="false" customHeight="false" outlineLevel="0" collapsed="false">
      <c r="A101" s="4" t="s">
        <v>18</v>
      </c>
      <c r="B101" s="4" t="s">
        <v>205</v>
      </c>
      <c r="C101" s="4" t="s">
        <v>205</v>
      </c>
      <c r="D101" s="4" t="s">
        <v>391</v>
      </c>
      <c r="E101" s="4" t="s">
        <v>206</v>
      </c>
      <c r="F101" s="4" t="s">
        <v>207</v>
      </c>
      <c r="G101" s="4" t="s">
        <v>208</v>
      </c>
      <c r="H101" s="4" t="s">
        <v>47</v>
      </c>
      <c r="I101" s="19" t="n">
        <v>60</v>
      </c>
      <c r="J101" s="19" t="n">
        <v>46</v>
      </c>
      <c r="K101" s="5" t="n">
        <f aca="false">I101-J101</f>
        <v>14</v>
      </c>
      <c r="L101" s="6" t="n">
        <f aca="false">IF(I101=0,"",K101/I101)</f>
        <v>0.233333333333333</v>
      </c>
      <c r="M101" s="19" t="n">
        <v>60</v>
      </c>
      <c r="N101" s="5" t="n">
        <f aca="false">I101-M101</f>
        <v>0</v>
      </c>
    </row>
    <row r="102" customFormat="false" ht="15" hidden="false" customHeight="false" outlineLevel="0" collapsed="false">
      <c r="A102" s="4" t="s">
        <v>18</v>
      </c>
      <c r="B102" s="4" t="s">
        <v>209</v>
      </c>
      <c r="C102" s="4" t="s">
        <v>209</v>
      </c>
      <c r="D102" s="4" t="s">
        <v>391</v>
      </c>
      <c r="E102" s="4" t="s">
        <v>210</v>
      </c>
      <c r="F102" s="4" t="s">
        <v>129</v>
      </c>
      <c r="G102" s="4" t="s">
        <v>130</v>
      </c>
      <c r="H102" s="4" t="s">
        <v>47</v>
      </c>
      <c r="I102" s="19" t="n">
        <v>0</v>
      </c>
      <c r="J102" s="19" t="n">
        <v>0</v>
      </c>
      <c r="K102" s="5" t="n">
        <f aca="false">I102-J102</f>
        <v>0</v>
      </c>
      <c r="L102" s="6" t="str">
        <f aca="false">IF(I102=0,"",K102/I102)</f>
        <v/>
      </c>
      <c r="M102" s="19" t="n">
        <v>3144</v>
      </c>
      <c r="N102" s="5" t="n">
        <f aca="false">I102-M102</f>
        <v>-3144</v>
      </c>
    </row>
    <row r="103" customFormat="false" ht="15" hidden="false" customHeight="false" outlineLevel="0" collapsed="false">
      <c r="A103" s="4" t="s">
        <v>18</v>
      </c>
      <c r="B103" s="4" t="s">
        <v>211</v>
      </c>
      <c r="C103" s="4" t="s">
        <v>211</v>
      </c>
      <c r="D103" s="4" t="s">
        <v>391</v>
      </c>
      <c r="E103" s="4" t="s">
        <v>212</v>
      </c>
      <c r="F103" s="4" t="s">
        <v>213</v>
      </c>
      <c r="G103" s="4" t="s">
        <v>214</v>
      </c>
      <c r="H103" s="4" t="s">
        <v>47</v>
      </c>
      <c r="I103" s="19" t="n">
        <v>2949</v>
      </c>
      <c r="J103" s="19" t="n">
        <v>1640</v>
      </c>
      <c r="K103" s="5" t="n">
        <f aca="false">I103-J103</f>
        <v>1309</v>
      </c>
      <c r="L103" s="6" t="n">
        <f aca="false">IF(I103=0,"",K103/I103)</f>
        <v>0.443879281112241</v>
      </c>
      <c r="M103" s="19" t="n">
        <v>2916.73</v>
      </c>
      <c r="N103" s="5" t="n">
        <f aca="false">I103-M103</f>
        <v>32.27</v>
      </c>
    </row>
    <row r="104" customFormat="false" ht="15" hidden="false" customHeight="false" outlineLevel="0" collapsed="false">
      <c r="A104" s="4" t="s">
        <v>18</v>
      </c>
      <c r="B104" s="4" t="s">
        <v>215</v>
      </c>
      <c r="C104" s="4" t="s">
        <v>215</v>
      </c>
      <c r="D104" s="4" t="s">
        <v>391</v>
      </c>
      <c r="E104" s="4" t="s">
        <v>216</v>
      </c>
      <c r="F104" s="4" t="s">
        <v>213</v>
      </c>
      <c r="G104" s="4" t="s">
        <v>214</v>
      </c>
      <c r="H104" s="4" t="s">
        <v>47</v>
      </c>
      <c r="I104" s="19" t="n">
        <v>986.59</v>
      </c>
      <c r="J104" s="19" t="n">
        <v>67</v>
      </c>
      <c r="K104" s="5" t="n">
        <f aca="false">I104-J104</f>
        <v>919.59</v>
      </c>
      <c r="L104" s="6" t="n">
        <f aca="false">IF(I104=0,"",K104/I104)</f>
        <v>0.932089317751041</v>
      </c>
      <c r="M104" s="19" t="n">
        <v>986.59</v>
      </c>
      <c r="N104" s="5" t="n">
        <f aca="false">I104-M104</f>
        <v>0</v>
      </c>
    </row>
    <row r="105" customFormat="false" ht="15" hidden="false" customHeight="false" outlineLevel="0" collapsed="false">
      <c r="A105" s="4" t="s">
        <v>18</v>
      </c>
      <c r="B105" s="4" t="s">
        <v>217</v>
      </c>
      <c r="C105" s="4" t="s">
        <v>217</v>
      </c>
      <c r="D105" s="4" t="s">
        <v>391</v>
      </c>
      <c r="E105" s="4" t="s">
        <v>218</v>
      </c>
      <c r="F105" s="4" t="s">
        <v>79</v>
      </c>
      <c r="G105" s="4" t="s">
        <v>80</v>
      </c>
      <c r="H105" s="4" t="s">
        <v>47</v>
      </c>
      <c r="I105" s="19" t="n">
        <v>5145.06</v>
      </c>
      <c r="J105" s="19" t="n">
        <v>1883</v>
      </c>
      <c r="K105" s="5" t="n">
        <f aca="false">I105-J105</f>
        <v>3262.06</v>
      </c>
      <c r="L105" s="6" t="n">
        <f aca="false">IF(I105=0,"",K105/I105)</f>
        <v>0.634017873455315</v>
      </c>
      <c r="M105" s="19" t="n">
        <v>7383.72</v>
      </c>
      <c r="N105" s="5" t="n">
        <f aca="false">I105-M105</f>
        <v>-2238.66</v>
      </c>
    </row>
    <row r="106" customFormat="false" ht="15" hidden="false" customHeight="false" outlineLevel="0" collapsed="false">
      <c r="A106" s="4" t="s">
        <v>18</v>
      </c>
      <c r="B106" s="4" t="s">
        <v>219</v>
      </c>
      <c r="C106" s="4" t="s">
        <v>219</v>
      </c>
      <c r="D106" s="4" t="s">
        <v>391</v>
      </c>
      <c r="E106" s="4" t="s">
        <v>220</v>
      </c>
      <c r="F106" s="4" t="s">
        <v>221</v>
      </c>
      <c r="G106" s="4" t="s">
        <v>222</v>
      </c>
      <c r="H106" s="4" t="s">
        <v>47</v>
      </c>
      <c r="I106" s="19" t="n">
        <v>1662.06</v>
      </c>
      <c r="J106" s="19" t="n">
        <v>557</v>
      </c>
      <c r="K106" s="5" t="n">
        <f aca="false">I106-J106</f>
        <v>1105.06</v>
      </c>
      <c r="L106" s="6" t="n">
        <f aca="false">IF(I106=0,"",K106/I106)</f>
        <v>0.66487371093703</v>
      </c>
      <c r="M106" s="19" t="n">
        <v>1662.05</v>
      </c>
      <c r="N106" s="5" t="n">
        <f aca="false">I106-M106</f>
        <v>0.00999999999999091</v>
      </c>
    </row>
    <row r="107" customFormat="false" ht="15" hidden="false" customHeight="false" outlineLevel="0" collapsed="false">
      <c r="A107" s="4" t="s">
        <v>18</v>
      </c>
      <c r="B107" s="4" t="s">
        <v>223</v>
      </c>
      <c r="C107" s="4" t="s">
        <v>223</v>
      </c>
      <c r="D107" s="4" t="s">
        <v>391</v>
      </c>
      <c r="E107" s="4" t="s">
        <v>224</v>
      </c>
      <c r="F107" s="4" t="s">
        <v>213</v>
      </c>
      <c r="G107" s="4" t="s">
        <v>214</v>
      </c>
      <c r="H107" s="4" t="s">
        <v>47</v>
      </c>
      <c r="I107" s="19" t="n">
        <v>75</v>
      </c>
      <c r="J107" s="19" t="n">
        <v>46</v>
      </c>
      <c r="K107" s="5" t="n">
        <f aca="false">I107-J107</f>
        <v>29</v>
      </c>
      <c r="L107" s="6" t="n">
        <f aca="false">IF(I107=0,"",K107/I107)</f>
        <v>0.386666666666667</v>
      </c>
      <c r="M107" s="19" t="n">
        <v>75</v>
      </c>
      <c r="N107" s="5" t="n">
        <f aca="false">I107-M107</f>
        <v>0</v>
      </c>
    </row>
    <row r="108" customFormat="false" ht="15" hidden="false" customHeight="false" outlineLevel="0" collapsed="false">
      <c r="A108" s="4" t="s">
        <v>18</v>
      </c>
      <c r="B108" s="4" t="s">
        <v>225</v>
      </c>
      <c r="C108" s="4" t="s">
        <v>225</v>
      </c>
      <c r="D108" s="4" t="s">
        <v>391</v>
      </c>
      <c r="E108" s="4" t="s">
        <v>226</v>
      </c>
      <c r="F108" s="4" t="s">
        <v>227</v>
      </c>
      <c r="G108" s="4" t="s">
        <v>228</v>
      </c>
      <c r="H108" s="4" t="s">
        <v>47</v>
      </c>
      <c r="I108" s="19" t="n">
        <v>967.14</v>
      </c>
      <c r="J108" s="19" t="n">
        <v>425.5</v>
      </c>
      <c r="K108" s="5" t="n">
        <f aca="false">I108-J108</f>
        <v>541.64</v>
      </c>
      <c r="L108" s="6" t="n">
        <f aca="false">IF(I108=0,"",K108/I108)</f>
        <v>0.560043013421015</v>
      </c>
      <c r="M108" s="19" t="n">
        <v>967.11</v>
      </c>
      <c r="N108" s="5" t="n">
        <f aca="false">I108-M108</f>
        <v>0.0299999999999727</v>
      </c>
    </row>
    <row r="109" customFormat="false" ht="15" hidden="false" customHeight="false" outlineLevel="0" collapsed="false">
      <c r="A109" s="4" t="s">
        <v>18</v>
      </c>
      <c r="B109" s="4" t="s">
        <v>229</v>
      </c>
      <c r="C109" s="4" t="s">
        <v>229</v>
      </c>
      <c r="D109" s="4" t="s">
        <v>391</v>
      </c>
      <c r="E109" s="4" t="s">
        <v>230</v>
      </c>
      <c r="F109" s="4" t="s">
        <v>231</v>
      </c>
      <c r="G109" s="4" t="s">
        <v>232</v>
      </c>
      <c r="H109" s="4" t="s">
        <v>47</v>
      </c>
      <c r="I109" s="19" t="n">
        <v>283.73</v>
      </c>
      <c r="J109" s="19" t="n">
        <v>115</v>
      </c>
      <c r="K109" s="5" t="n">
        <f aca="false">I109-J109</f>
        <v>168.73</v>
      </c>
      <c r="L109" s="6" t="n">
        <f aca="false">IF(I109=0,"",K109/I109)</f>
        <v>0.594685087935714</v>
      </c>
      <c r="M109" s="19" t="n">
        <v>283.73</v>
      </c>
      <c r="N109" s="5" t="n">
        <f aca="false">I109-M109</f>
        <v>0</v>
      </c>
    </row>
    <row r="110" customFormat="false" ht="15" hidden="false" customHeight="false" outlineLevel="0" collapsed="false">
      <c r="A110" s="4" t="s">
        <v>18</v>
      </c>
      <c r="B110" s="4" t="s">
        <v>233</v>
      </c>
      <c r="C110" s="4" t="s">
        <v>233</v>
      </c>
      <c r="D110" s="4" t="s">
        <v>391</v>
      </c>
      <c r="E110" s="4" t="s">
        <v>234</v>
      </c>
      <c r="F110" s="4" t="s">
        <v>235</v>
      </c>
      <c r="G110" s="4" t="s">
        <v>236</v>
      </c>
      <c r="H110" s="4" t="s">
        <v>47</v>
      </c>
      <c r="I110" s="19" t="n">
        <v>333.91</v>
      </c>
      <c r="J110" s="19" t="n">
        <v>136</v>
      </c>
      <c r="K110" s="5" t="n">
        <f aca="false">I110-J110</f>
        <v>197.91</v>
      </c>
      <c r="L110" s="6" t="n">
        <f aca="false">IF(I110=0,"",K110/I110)</f>
        <v>0.59270462100566</v>
      </c>
      <c r="M110" s="19" t="n">
        <v>333.91</v>
      </c>
      <c r="N110" s="5" t="n">
        <f aca="false">I110-M110</f>
        <v>0</v>
      </c>
    </row>
    <row r="111" customFormat="false" ht="15" hidden="false" customHeight="false" outlineLevel="0" collapsed="false">
      <c r="A111" s="4" t="s">
        <v>18</v>
      </c>
      <c r="B111" s="4" t="s">
        <v>237</v>
      </c>
      <c r="C111" s="4" t="s">
        <v>237</v>
      </c>
      <c r="D111" s="4" t="s">
        <v>391</v>
      </c>
      <c r="E111" s="4" t="s">
        <v>238</v>
      </c>
      <c r="F111" s="4" t="s">
        <v>157</v>
      </c>
      <c r="G111" s="4" t="s">
        <v>158</v>
      </c>
      <c r="H111" s="4" t="s">
        <v>47</v>
      </c>
      <c r="I111" s="19" t="n">
        <v>2212.58</v>
      </c>
      <c r="J111" s="19" t="n">
        <v>852</v>
      </c>
      <c r="K111" s="5" t="n">
        <f aca="false">I111-J111</f>
        <v>1360.58</v>
      </c>
      <c r="L111" s="6" t="n">
        <f aca="false">IF(I111=0,"",K111/I111)</f>
        <v>0.614929177702049</v>
      </c>
      <c r="M111" s="19" t="n">
        <v>2277.16</v>
      </c>
      <c r="N111" s="5" t="n">
        <f aca="false">I111-M111</f>
        <v>-64.5799999999999</v>
      </c>
    </row>
    <row r="112" customFormat="false" ht="15" hidden="false" customHeight="false" outlineLevel="0" collapsed="false">
      <c r="A112" s="4" t="s">
        <v>18</v>
      </c>
      <c r="B112" s="4" t="s">
        <v>239</v>
      </c>
      <c r="C112" s="4" t="s">
        <v>239</v>
      </c>
      <c r="D112" s="4" t="s">
        <v>391</v>
      </c>
      <c r="E112" s="4" t="s">
        <v>240</v>
      </c>
      <c r="F112" s="4" t="s">
        <v>161</v>
      </c>
      <c r="G112" s="4" t="s">
        <v>162</v>
      </c>
      <c r="H112" s="4" t="s">
        <v>47</v>
      </c>
      <c r="I112" s="19" t="n">
        <v>470.6</v>
      </c>
      <c r="J112" s="19" t="n">
        <v>230</v>
      </c>
      <c r="K112" s="5" t="n">
        <f aca="false">I112-J112</f>
        <v>240.6</v>
      </c>
      <c r="L112" s="6" t="n">
        <f aca="false">IF(I112=0,"",K112/I112)</f>
        <v>0.511262218444539</v>
      </c>
      <c r="M112" s="19" t="n">
        <v>470.59</v>
      </c>
      <c r="N112" s="5" t="n">
        <f aca="false">I112-M112</f>
        <v>0.0100000000000477</v>
      </c>
    </row>
    <row r="113" customFormat="false" ht="15" hidden="false" customHeight="false" outlineLevel="0" collapsed="false">
      <c r="A113" s="4" t="s">
        <v>18</v>
      </c>
      <c r="B113" s="4" t="s">
        <v>241</v>
      </c>
      <c r="C113" s="4" t="s">
        <v>241</v>
      </c>
      <c r="D113" s="4" t="s">
        <v>391</v>
      </c>
      <c r="E113" s="4" t="s">
        <v>242</v>
      </c>
      <c r="F113" s="4" t="s">
        <v>243</v>
      </c>
      <c r="G113" s="4" t="s">
        <v>244</v>
      </c>
      <c r="H113" s="4" t="s">
        <v>47</v>
      </c>
      <c r="I113" s="19" t="n">
        <v>233.11</v>
      </c>
      <c r="J113" s="19" t="n">
        <v>69</v>
      </c>
      <c r="K113" s="5" t="n">
        <f aca="false">I113-J113</f>
        <v>164.11</v>
      </c>
      <c r="L113" s="6" t="n">
        <f aca="false">IF(I113=0,"",K113/I113)</f>
        <v>0.704002402299344</v>
      </c>
      <c r="M113" s="19" t="n">
        <v>233.11</v>
      </c>
      <c r="N113" s="5" t="n">
        <f aca="false">I113-M113</f>
        <v>0</v>
      </c>
    </row>
    <row r="114" customFormat="false" ht="15" hidden="false" customHeight="false" outlineLevel="0" collapsed="false">
      <c r="A114" s="4" t="s">
        <v>18</v>
      </c>
      <c r="B114" s="4" t="s">
        <v>245</v>
      </c>
      <c r="C114" s="4" t="s">
        <v>245</v>
      </c>
      <c r="D114" s="4" t="s">
        <v>391</v>
      </c>
      <c r="E114" s="4" t="s">
        <v>246</v>
      </c>
      <c r="F114" s="4" t="s">
        <v>247</v>
      </c>
      <c r="G114" s="4" t="s">
        <v>248</v>
      </c>
      <c r="H114" s="4" t="s">
        <v>47</v>
      </c>
      <c r="I114" s="19" t="n">
        <v>60</v>
      </c>
      <c r="J114" s="19" t="n">
        <v>46</v>
      </c>
      <c r="K114" s="5" t="n">
        <f aca="false">I114-J114</f>
        <v>14</v>
      </c>
      <c r="L114" s="6" t="n">
        <f aca="false">IF(I114=0,"",K114/I114)</f>
        <v>0.233333333333333</v>
      </c>
      <c r="M114" s="19" t="n">
        <v>60</v>
      </c>
      <c r="N114" s="5" t="n">
        <f aca="false">I114-M114</f>
        <v>0</v>
      </c>
    </row>
    <row r="115" customFormat="false" ht="15" hidden="false" customHeight="false" outlineLevel="0" collapsed="false">
      <c r="A115" s="4" t="s">
        <v>18</v>
      </c>
      <c r="B115" s="4" t="s">
        <v>249</v>
      </c>
      <c r="C115" s="4" t="s">
        <v>249</v>
      </c>
      <c r="D115" s="4" t="s">
        <v>391</v>
      </c>
      <c r="E115" s="4" t="s">
        <v>250</v>
      </c>
      <c r="F115" s="4" t="s">
        <v>251</v>
      </c>
      <c r="G115" s="4" t="s">
        <v>252</v>
      </c>
      <c r="H115" s="4" t="s">
        <v>47</v>
      </c>
      <c r="I115" s="19" t="n">
        <v>0</v>
      </c>
      <c r="J115" s="19" t="n">
        <v>0</v>
      </c>
      <c r="K115" s="5" t="n">
        <f aca="false">I115-J115</f>
        <v>0</v>
      </c>
      <c r="L115" s="6" t="str">
        <f aca="false">IF(I115=0,"",K115/I115)</f>
        <v/>
      </c>
      <c r="M115" s="19" t="n">
        <v>0</v>
      </c>
      <c r="N115" s="5" t="n">
        <f aca="false">I115-M115</f>
        <v>0</v>
      </c>
    </row>
    <row r="116" customFormat="false" ht="15" hidden="false" customHeight="false" outlineLevel="0" collapsed="false">
      <c r="A116" s="4" t="s">
        <v>18</v>
      </c>
      <c r="B116" s="4" t="s">
        <v>253</v>
      </c>
      <c r="C116" s="4" t="s">
        <v>253</v>
      </c>
      <c r="D116" s="4" t="s">
        <v>391</v>
      </c>
      <c r="E116" s="4" t="s">
        <v>254</v>
      </c>
      <c r="F116" s="4" t="s">
        <v>255</v>
      </c>
      <c r="G116" s="4" t="s">
        <v>256</v>
      </c>
      <c r="H116" s="4" t="s">
        <v>47</v>
      </c>
      <c r="I116" s="19" t="n">
        <v>10157.42</v>
      </c>
      <c r="J116" s="19" t="n">
        <v>5386</v>
      </c>
      <c r="K116" s="5" t="n">
        <f aca="false">I116-J116</f>
        <v>4771.42</v>
      </c>
      <c r="L116" s="6" t="n">
        <f aca="false">IF(I116=0,"",K116/I116)</f>
        <v>0.469747238964225</v>
      </c>
      <c r="M116" s="19" t="n">
        <v>16895.24</v>
      </c>
      <c r="N116" s="5" t="n">
        <f aca="false">I116-M116</f>
        <v>-6737.82</v>
      </c>
    </row>
    <row r="117" customFormat="false" ht="15" hidden="false" customHeight="false" outlineLevel="0" collapsed="false">
      <c r="A117" s="4" t="s">
        <v>18</v>
      </c>
      <c r="B117" s="4" t="s">
        <v>257</v>
      </c>
      <c r="C117" s="4" t="s">
        <v>257</v>
      </c>
      <c r="D117" s="4" t="s">
        <v>391</v>
      </c>
      <c r="E117" s="4" t="s">
        <v>184</v>
      </c>
      <c r="F117" s="4" t="s">
        <v>258</v>
      </c>
      <c r="G117" s="4" t="s">
        <v>259</v>
      </c>
      <c r="H117" s="4" t="s">
        <v>47</v>
      </c>
      <c r="I117" s="19" t="n">
        <v>249.38</v>
      </c>
      <c r="J117" s="19" t="n">
        <v>69</v>
      </c>
      <c r="K117" s="5" t="n">
        <f aca="false">I117-J117</f>
        <v>180.38</v>
      </c>
      <c r="L117" s="6" t="n">
        <f aca="false">IF(I117=0,"",K117/I117)</f>
        <v>0.723313818269308</v>
      </c>
      <c r="M117" s="19" t="n">
        <v>249.37</v>
      </c>
      <c r="N117" s="5" t="n">
        <f aca="false">I117-M117</f>
        <v>0.00999999999999091</v>
      </c>
    </row>
    <row r="118" customFormat="false" ht="15" hidden="false" customHeight="false" outlineLevel="0" collapsed="false">
      <c r="A118" s="4" t="s">
        <v>18</v>
      </c>
      <c r="B118" s="4" t="s">
        <v>260</v>
      </c>
      <c r="C118" s="4" t="s">
        <v>260</v>
      </c>
      <c r="D118" s="4" t="s">
        <v>391</v>
      </c>
      <c r="E118" s="4" t="s">
        <v>261</v>
      </c>
      <c r="F118" s="4" t="s">
        <v>213</v>
      </c>
      <c r="G118" s="4" t="s">
        <v>214</v>
      </c>
      <c r="H118" s="4" t="s">
        <v>47</v>
      </c>
      <c r="I118" s="19" t="n">
        <v>6505.8</v>
      </c>
      <c r="J118" s="19" t="n">
        <v>2135</v>
      </c>
      <c r="K118" s="5" t="n">
        <f aca="false">I118-J118</f>
        <v>4370.8</v>
      </c>
      <c r="L118" s="6" t="n">
        <f aca="false">IF(I118=0,"",K118/I118)</f>
        <v>0.671831289003658</v>
      </c>
      <c r="M118" s="19" t="n">
        <v>6505.83</v>
      </c>
      <c r="N118" s="5" t="n">
        <f aca="false">I118-M118</f>
        <v>-0.0299999999997453</v>
      </c>
    </row>
    <row r="119" customFormat="false" ht="15" hidden="false" customHeight="false" outlineLevel="0" collapsed="false">
      <c r="A119" s="4" t="s">
        <v>18</v>
      </c>
      <c r="B119" s="4" t="s">
        <v>262</v>
      </c>
      <c r="C119" s="4" t="s">
        <v>262</v>
      </c>
      <c r="D119" s="4" t="s">
        <v>391</v>
      </c>
      <c r="E119" s="4" t="s">
        <v>263</v>
      </c>
      <c r="F119" s="4" t="s">
        <v>264</v>
      </c>
      <c r="G119" s="4" t="s">
        <v>265</v>
      </c>
      <c r="H119" s="4" t="s">
        <v>47</v>
      </c>
      <c r="I119" s="19" t="n">
        <v>68.09</v>
      </c>
      <c r="J119" s="19" t="n">
        <v>23</v>
      </c>
      <c r="K119" s="5" t="n">
        <f aca="false">I119-J119</f>
        <v>45.09</v>
      </c>
      <c r="L119" s="6" t="n">
        <f aca="false">IF(I119=0,"",K119/I119)</f>
        <v>0.662211778528418</v>
      </c>
      <c r="M119" s="19" t="n">
        <v>183.09</v>
      </c>
      <c r="N119" s="5" t="n">
        <f aca="false">I119-M119</f>
        <v>-115</v>
      </c>
    </row>
    <row r="120" customFormat="false" ht="15" hidden="false" customHeight="false" outlineLevel="0" collapsed="false">
      <c r="A120" s="4" t="s">
        <v>18</v>
      </c>
      <c r="B120" s="4" t="s">
        <v>266</v>
      </c>
      <c r="C120" s="4" t="s">
        <v>266</v>
      </c>
      <c r="D120" s="4" t="s">
        <v>391</v>
      </c>
      <c r="E120" s="4" t="s">
        <v>267</v>
      </c>
      <c r="F120" s="4" t="s">
        <v>268</v>
      </c>
      <c r="G120" s="4" t="s">
        <v>269</v>
      </c>
      <c r="H120" s="4" t="s">
        <v>47</v>
      </c>
      <c r="I120" s="19" t="n">
        <v>250.5</v>
      </c>
      <c r="J120" s="19" t="n">
        <v>46</v>
      </c>
      <c r="K120" s="5" t="n">
        <f aca="false">I120-J120</f>
        <v>204.5</v>
      </c>
      <c r="L120" s="6" t="n">
        <f aca="false">IF(I120=0,"",K120/I120)</f>
        <v>0.816367265469062</v>
      </c>
      <c r="M120" s="19" t="n">
        <v>250.5</v>
      </c>
      <c r="N120" s="5" t="n">
        <f aca="false">I120-M120</f>
        <v>0</v>
      </c>
    </row>
    <row r="121" customFormat="false" ht="15" hidden="false" customHeight="false" outlineLevel="0" collapsed="false">
      <c r="A121" s="4" t="s">
        <v>18</v>
      </c>
      <c r="B121" s="4" t="s">
        <v>270</v>
      </c>
      <c r="C121" s="4" t="s">
        <v>270</v>
      </c>
      <c r="D121" s="4" t="s">
        <v>391</v>
      </c>
      <c r="E121" s="4" t="s">
        <v>271</v>
      </c>
      <c r="F121" s="4" t="s">
        <v>272</v>
      </c>
      <c r="G121" s="4" t="s">
        <v>273</v>
      </c>
      <c r="H121" s="4" t="s">
        <v>47</v>
      </c>
      <c r="I121" s="19" t="n">
        <v>1062.2</v>
      </c>
      <c r="J121" s="19" t="n">
        <v>276</v>
      </c>
      <c r="K121" s="5" t="n">
        <f aca="false">I121-J121</f>
        <v>786.2</v>
      </c>
      <c r="L121" s="6" t="n">
        <f aca="false">IF(I121=0,"",K121/I121)</f>
        <v>0.740161928073809</v>
      </c>
      <c r="M121" s="19" t="n">
        <v>1062.2</v>
      </c>
      <c r="N121" s="5" t="n">
        <f aca="false">I121-M121</f>
        <v>0</v>
      </c>
    </row>
    <row r="122" customFormat="false" ht="15" hidden="false" customHeight="false" outlineLevel="0" collapsed="false">
      <c r="A122" s="4" t="s">
        <v>18</v>
      </c>
      <c r="B122" s="4" t="s">
        <v>274</v>
      </c>
      <c r="C122" s="4" t="s">
        <v>274</v>
      </c>
      <c r="D122" s="4" t="s">
        <v>391</v>
      </c>
      <c r="E122" s="4" t="s">
        <v>275</v>
      </c>
      <c r="F122" s="4" t="s">
        <v>276</v>
      </c>
      <c r="G122" s="4" t="s">
        <v>277</v>
      </c>
      <c r="H122" s="4" t="s">
        <v>47</v>
      </c>
      <c r="I122" s="19" t="n">
        <v>195.46</v>
      </c>
      <c r="J122" s="19" t="n">
        <v>69</v>
      </c>
      <c r="K122" s="5" t="n">
        <f aca="false">I122-J122</f>
        <v>126.46</v>
      </c>
      <c r="L122" s="6" t="n">
        <f aca="false">IF(I122=0,"",K122/I122)</f>
        <v>0.64698659572291</v>
      </c>
      <c r="M122" s="19" t="n">
        <v>195.45</v>
      </c>
      <c r="N122" s="5" t="n">
        <f aca="false">I122-M122</f>
        <v>0.0100000000000193</v>
      </c>
    </row>
    <row r="123" customFormat="false" ht="15" hidden="false" customHeight="false" outlineLevel="0" collapsed="false">
      <c r="A123" s="4" t="s">
        <v>18</v>
      </c>
      <c r="B123" s="4" t="s">
        <v>278</v>
      </c>
      <c r="C123" s="4" t="s">
        <v>278</v>
      </c>
      <c r="D123" s="4" t="s">
        <v>391</v>
      </c>
      <c r="E123" s="4" t="s">
        <v>279</v>
      </c>
      <c r="F123" s="4" t="s">
        <v>280</v>
      </c>
      <c r="G123" s="4" t="s">
        <v>281</v>
      </c>
      <c r="H123" s="4" t="s">
        <v>47</v>
      </c>
      <c r="I123" s="19" t="n">
        <v>1466.61</v>
      </c>
      <c r="J123" s="19" t="n">
        <v>527.5</v>
      </c>
      <c r="K123" s="5" t="n">
        <f aca="false">I123-J123</f>
        <v>939.11</v>
      </c>
      <c r="L123" s="6" t="n">
        <f aca="false">IF(I123=0,"",K123/I123)</f>
        <v>0.640327012634579</v>
      </c>
      <c r="M123" s="19" t="n">
        <v>1472.6</v>
      </c>
      <c r="N123" s="5" t="n">
        <f aca="false">I123-M123</f>
        <v>-5.99000000000001</v>
      </c>
    </row>
    <row r="124" customFormat="false" ht="15" hidden="false" customHeight="false" outlineLevel="0" collapsed="false">
      <c r="A124" s="4" t="s">
        <v>18</v>
      </c>
      <c r="B124" s="4" t="s">
        <v>282</v>
      </c>
      <c r="C124" s="4" t="s">
        <v>282</v>
      </c>
      <c r="D124" s="4" t="s">
        <v>391</v>
      </c>
      <c r="E124" s="4" t="s">
        <v>283</v>
      </c>
      <c r="F124" s="4" t="s">
        <v>284</v>
      </c>
      <c r="G124" s="4" t="s">
        <v>285</v>
      </c>
      <c r="H124" s="4" t="s">
        <v>47</v>
      </c>
      <c r="I124" s="19" t="n">
        <v>185.37</v>
      </c>
      <c r="J124" s="19" t="n">
        <v>116</v>
      </c>
      <c r="K124" s="5" t="n">
        <f aca="false">I124-J124</f>
        <v>69.37</v>
      </c>
      <c r="L124" s="6" t="n">
        <f aca="false">IF(I124=0,"",K124/I124)</f>
        <v>0.374224523925123</v>
      </c>
      <c r="M124" s="19" t="n">
        <v>200.37</v>
      </c>
      <c r="N124" s="5" t="n">
        <f aca="false">I124-M124</f>
        <v>-15</v>
      </c>
    </row>
    <row r="125" customFormat="false" ht="15" hidden="false" customHeight="false" outlineLevel="0" collapsed="false">
      <c r="A125" s="4" t="s">
        <v>18</v>
      </c>
      <c r="B125" s="4" t="s">
        <v>286</v>
      </c>
      <c r="C125" s="4" t="s">
        <v>286</v>
      </c>
      <c r="D125" s="4" t="s">
        <v>391</v>
      </c>
      <c r="E125" s="4" t="s">
        <v>287</v>
      </c>
      <c r="F125" s="4" t="s">
        <v>255</v>
      </c>
      <c r="G125" s="4" t="s">
        <v>256</v>
      </c>
      <c r="H125" s="4" t="s">
        <v>47</v>
      </c>
      <c r="I125" s="19" t="n">
        <v>3824.72</v>
      </c>
      <c r="J125" s="19" t="n">
        <v>1414.5</v>
      </c>
      <c r="K125" s="5" t="n">
        <f aca="false">I125-J125</f>
        <v>2410.22</v>
      </c>
      <c r="L125" s="6" t="n">
        <f aca="false">IF(I125=0,"",K125/I125)</f>
        <v>0.630169005835721</v>
      </c>
      <c r="M125" s="19" t="n">
        <v>7146.32</v>
      </c>
      <c r="N125" s="5" t="n">
        <f aca="false">I125-M125</f>
        <v>-3321.6</v>
      </c>
    </row>
    <row r="126" customFormat="false" ht="15" hidden="false" customHeight="false" outlineLevel="0" collapsed="false">
      <c r="A126" s="4" t="s">
        <v>18</v>
      </c>
      <c r="B126" s="4" t="s">
        <v>288</v>
      </c>
      <c r="C126" s="4" t="s">
        <v>288</v>
      </c>
      <c r="D126" s="4" t="s">
        <v>391</v>
      </c>
      <c r="E126" s="4" t="s">
        <v>289</v>
      </c>
      <c r="F126" s="4" t="s">
        <v>290</v>
      </c>
      <c r="G126" s="4" t="s">
        <v>291</v>
      </c>
      <c r="H126" s="4" t="s">
        <v>47</v>
      </c>
      <c r="I126" s="19" t="n">
        <v>2297.69</v>
      </c>
      <c r="J126" s="19" t="n">
        <v>907</v>
      </c>
      <c r="K126" s="5" t="n">
        <f aca="false">I126-J126</f>
        <v>1390.69</v>
      </c>
      <c r="L126" s="6" t="n">
        <f aca="false">IF(I126=0,"",K126/I126)</f>
        <v>0.605255713346883</v>
      </c>
      <c r="M126" s="19" t="n">
        <v>2297.68</v>
      </c>
      <c r="N126" s="5" t="n">
        <f aca="false">I126-M126</f>
        <v>0.0100000000002183</v>
      </c>
    </row>
    <row r="127" customFormat="false" ht="15" hidden="false" customHeight="false" outlineLevel="0" collapsed="false">
      <c r="A127" s="15" t="s">
        <v>292</v>
      </c>
      <c r="B127" s="15"/>
      <c r="C127" s="15"/>
      <c r="D127" s="15"/>
      <c r="E127" s="15"/>
      <c r="F127" s="15"/>
      <c r="G127" s="15"/>
      <c r="H127" s="15"/>
      <c r="I127" s="16" t="n">
        <f aca="false">SUBTOTAL(9,I5:I126)</f>
        <v>1723909.9</v>
      </c>
      <c r="J127" s="16" t="n">
        <f aca="false">SUBTOTAL(9,J5:J126)</f>
        <v>1341251.48</v>
      </c>
      <c r="K127" s="16" t="n">
        <f aca="false">SUBTOTAL(9,K5:K126)</f>
        <v>382658.42</v>
      </c>
      <c r="L127" s="17" t="n">
        <f aca="false">IF(I127=0,"",K127/I127)</f>
        <v>0.221971241072402</v>
      </c>
      <c r="M127" s="16" t="n">
        <f aca="false">SUBTOTAL(9,M5:M126)</f>
        <v>1756792.8</v>
      </c>
      <c r="N127" s="16" t="n">
        <f aca="false">SUBTOTAL(9,N5:N126)</f>
        <v>-32882.9</v>
      </c>
    </row>
  </sheetData>
  <autoFilter ref="A4:N126"/>
  <conditionalFormatting sqref="K5:K126">
    <cfRule type="cellIs" priority="2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2026-10-21T09:47:28Z</dcterms:created>
  <dc:creator>openpyxl</dc:creator>
  <dc:description/>
  <dc:language>en-US</dc:language>
  <cp:lastModifiedBy/>
  <dcterms:modified xsi:type="dcterms:W3CDTF">2026-10-21T09:47:29Z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